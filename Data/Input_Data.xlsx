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ome\Nikhilesh\Avionics and Aviation\EAMHP\EAMHP V1.1.0\"/>
    </mc:Choice>
  </mc:AlternateContent>
  <xr:revisionPtr revIDLastSave="0" documentId="13_ncr:1_{CAF42109-1F6A-4D09-A968-38C27DDF9F8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externalReferences>
    <externalReference r:id="rId2"/>
  </externalReferences>
  <definedNames>
    <definedName name="Masterlist1">[1]DataValidation!$I$4:$I$19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1" l="1"/>
  <c r="F50" i="1"/>
  <c r="H50" i="1" s="1"/>
  <c r="D50" i="1"/>
  <c r="G49" i="1"/>
  <c r="F49" i="1"/>
  <c r="H49" i="1" s="1"/>
  <c r="D49" i="1"/>
  <c r="G48" i="1"/>
  <c r="F48" i="1"/>
  <c r="H48" i="1" s="1"/>
  <c r="D48" i="1"/>
  <c r="G47" i="1"/>
  <c r="F47" i="1"/>
  <c r="H47" i="1" s="1"/>
  <c r="D47" i="1"/>
  <c r="G46" i="1"/>
  <c r="F46" i="1"/>
  <c r="H46" i="1" s="1"/>
  <c r="D46" i="1"/>
  <c r="G45" i="1"/>
  <c r="F45" i="1"/>
  <c r="H45" i="1" s="1"/>
  <c r="D45" i="1"/>
  <c r="G44" i="1"/>
  <c r="F44" i="1"/>
  <c r="H44" i="1" s="1"/>
  <c r="D44" i="1"/>
  <c r="G43" i="1"/>
  <c r="F43" i="1"/>
  <c r="H43" i="1" s="1"/>
  <c r="D43" i="1"/>
  <c r="G42" i="1"/>
  <c r="F42" i="1"/>
  <c r="H42" i="1" s="1"/>
  <c r="D42" i="1"/>
  <c r="G41" i="1"/>
  <c r="F41" i="1"/>
  <c r="H41" i="1" s="1"/>
  <c r="D41" i="1"/>
  <c r="G40" i="1"/>
  <c r="F40" i="1"/>
  <c r="H40" i="1" s="1"/>
  <c r="D40" i="1"/>
  <c r="G39" i="1"/>
  <c r="F39" i="1"/>
  <c r="H39" i="1" s="1"/>
  <c r="D39" i="1"/>
  <c r="G38" i="1"/>
  <c r="F38" i="1"/>
  <c r="H38" i="1" s="1"/>
  <c r="D38" i="1"/>
  <c r="G37" i="1"/>
  <c r="F37" i="1"/>
  <c r="H37" i="1" s="1"/>
  <c r="D37" i="1"/>
  <c r="G36" i="1"/>
  <c r="F36" i="1"/>
  <c r="H36" i="1" s="1"/>
  <c r="D36" i="1"/>
  <c r="G35" i="1"/>
  <c r="F35" i="1"/>
  <c r="H35" i="1" s="1"/>
  <c r="D35" i="1"/>
  <c r="G34" i="1"/>
  <c r="F34" i="1"/>
  <c r="H34" i="1" s="1"/>
  <c r="D34" i="1"/>
  <c r="G33" i="1"/>
  <c r="F33" i="1"/>
  <c r="H33" i="1" s="1"/>
  <c r="D33" i="1"/>
  <c r="G32" i="1"/>
  <c r="F32" i="1"/>
  <c r="H32" i="1" s="1"/>
  <c r="D32" i="1"/>
  <c r="G31" i="1"/>
  <c r="F31" i="1"/>
  <c r="H31" i="1" s="1"/>
  <c r="D31" i="1"/>
  <c r="G30" i="1"/>
  <c r="F30" i="1"/>
  <c r="H30" i="1" s="1"/>
  <c r="D30" i="1"/>
  <c r="G29" i="1"/>
  <c r="F29" i="1"/>
  <c r="H29" i="1" s="1"/>
  <c r="D29" i="1"/>
  <c r="G28" i="1"/>
  <c r="F28" i="1"/>
  <c r="H28" i="1" s="1"/>
  <c r="D28" i="1"/>
  <c r="G27" i="1"/>
  <c r="F27" i="1"/>
  <c r="H27" i="1" s="1"/>
  <c r="D27" i="1"/>
  <c r="G26" i="1"/>
  <c r="F26" i="1"/>
  <c r="H26" i="1" s="1"/>
  <c r="D26" i="1"/>
  <c r="G25" i="1"/>
  <c r="F25" i="1"/>
  <c r="H25" i="1" s="1"/>
  <c r="D25" i="1"/>
  <c r="G24" i="1"/>
  <c r="F24" i="1"/>
  <c r="H24" i="1" s="1"/>
  <c r="D24" i="1"/>
  <c r="G23" i="1"/>
  <c r="F23" i="1"/>
  <c r="H23" i="1" s="1"/>
  <c r="D23" i="1"/>
  <c r="G22" i="1"/>
  <c r="F22" i="1"/>
  <c r="H22" i="1" s="1"/>
  <c r="D22" i="1"/>
  <c r="G21" i="1"/>
  <c r="F21" i="1"/>
  <c r="H21" i="1" s="1"/>
  <c r="D21" i="1"/>
  <c r="G20" i="1"/>
  <c r="F20" i="1"/>
  <c r="H20" i="1" s="1"/>
  <c r="D20" i="1"/>
  <c r="G19" i="1"/>
  <c r="F19" i="1"/>
  <c r="H19" i="1" s="1"/>
  <c r="D19" i="1"/>
  <c r="G18" i="1"/>
  <c r="F18" i="1"/>
  <c r="H18" i="1" s="1"/>
  <c r="D18" i="1"/>
  <c r="G17" i="1"/>
  <c r="F17" i="1"/>
  <c r="H17" i="1" s="1"/>
  <c r="D17" i="1"/>
  <c r="G16" i="1"/>
  <c r="F16" i="1"/>
  <c r="H16" i="1" s="1"/>
  <c r="D16" i="1"/>
  <c r="G15" i="1"/>
  <c r="F15" i="1"/>
  <c r="H15" i="1" s="1"/>
  <c r="D15" i="1"/>
  <c r="G14" i="1"/>
  <c r="F14" i="1"/>
  <c r="H14" i="1" s="1"/>
  <c r="D14" i="1"/>
  <c r="G13" i="1"/>
  <c r="F13" i="1"/>
  <c r="H13" i="1" s="1"/>
  <c r="D13" i="1"/>
  <c r="G12" i="1"/>
  <c r="F12" i="1"/>
  <c r="H12" i="1" s="1"/>
  <c r="D12" i="1"/>
  <c r="G11" i="1"/>
  <c r="F11" i="1"/>
  <c r="H11" i="1" s="1"/>
  <c r="D11" i="1"/>
  <c r="G10" i="1"/>
  <c r="F10" i="1"/>
  <c r="H10" i="1" s="1"/>
  <c r="D10" i="1"/>
  <c r="G9" i="1"/>
  <c r="F9" i="1"/>
  <c r="H9" i="1" s="1"/>
  <c r="D9" i="1"/>
  <c r="G8" i="1"/>
  <c r="F8" i="1"/>
  <c r="H8" i="1" s="1"/>
  <c r="D8" i="1"/>
  <c r="G7" i="1"/>
  <c r="F7" i="1"/>
  <c r="H7" i="1" s="1"/>
  <c r="D7" i="1"/>
  <c r="G6" i="1"/>
  <c r="F6" i="1"/>
  <c r="H6" i="1" s="1"/>
  <c r="D6" i="1"/>
  <c r="G5" i="1"/>
  <c r="F5" i="1"/>
  <c r="H5" i="1" s="1"/>
  <c r="D5" i="1"/>
  <c r="G4" i="1"/>
  <c r="F4" i="1"/>
  <c r="H4" i="1" s="1"/>
  <c r="D4" i="1"/>
  <c r="G3" i="1"/>
  <c r="F3" i="1"/>
  <c r="H3" i="1" s="1"/>
  <c r="D3" i="1"/>
  <c r="G2" i="1"/>
  <c r="F2" i="1"/>
  <c r="H2" i="1" s="1"/>
</calcChain>
</file>

<file path=xl/sharedStrings.xml><?xml version="1.0" encoding="utf-8"?>
<sst xmlns="http://schemas.openxmlformats.org/spreadsheetml/2006/main" count="8" uniqueCount="8">
  <si>
    <t>TimeStamp</t>
  </si>
  <si>
    <t>Engine Type</t>
  </si>
  <si>
    <t>Parameter</t>
  </si>
  <si>
    <t>Unit</t>
  </si>
  <si>
    <t>Value</t>
  </si>
  <si>
    <t>Upper Tolerance</t>
  </si>
  <si>
    <t>Lower Tolerance</t>
  </si>
  <si>
    <t>Fault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</si>
</sst>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3" borderId="6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22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589643</xdr:colOff>
          <xdr:row>7</xdr:row>
          <xdr:rowOff>125186</xdr:rowOff>
        </xdr:from>
        <xdr:to>
          <xdr:col>10</xdr:col>
          <xdr:colOff>1059543</xdr:colOff>
          <xdr:row>10</xdr:row>
          <xdr:rowOff>61686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5521EB8-DCEC-4747-B3CD-FAB6B90E8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Click here to save as</a:t>
              </a:r>
            </a:p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.pdf file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ome\Nikhilesh\Avionics%20and%20Aviation\EAMHP\EAMHP%20V1.1.0\EAMHP%20V%201.1.0.xlsm" TargetMode="External"/><Relationship Id="rId1" Type="http://schemas.openxmlformats.org/officeDocument/2006/relationships/externalLinkPath" Target="EAMHP%20V%201.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Data"/>
      <sheetName val="ReferenceData"/>
      <sheetName val="Sheet2"/>
      <sheetName val="ProjectGuide"/>
      <sheetName val="DataValidation"/>
    </sheetNames>
    <definedNames>
      <definedName name="ExportDataOnlyToPDF_Prompt"/>
    </definedNames>
    <sheetDataSet>
      <sheetData sheetId="0"/>
      <sheetData sheetId="1">
        <row r="1">
          <cell r="B1" t="str">
            <v>Parameter Name</v>
          </cell>
          <cell r="D1" t="str">
            <v>Lower Tolerant Values</v>
          </cell>
          <cell r="E1" t="str">
            <v>Upper Tolerant Values</v>
          </cell>
          <cell r="H1" t="str">
            <v>Unit</v>
          </cell>
        </row>
        <row r="2">
          <cell r="B2" t="str">
            <v>N1 Idle</v>
          </cell>
          <cell r="D2">
            <v>18.100000000000001</v>
          </cell>
          <cell r="E2">
            <v>24.2</v>
          </cell>
          <cell r="H2" t="str">
            <v>%</v>
          </cell>
        </row>
        <row r="3">
          <cell r="B3" t="str">
            <v>N1 Idle</v>
          </cell>
          <cell r="D3">
            <v>19</v>
          </cell>
          <cell r="E3">
            <v>21</v>
          </cell>
          <cell r="H3" t="str">
            <v>%</v>
          </cell>
        </row>
        <row r="4">
          <cell r="B4" t="str">
            <v>N1 Max</v>
          </cell>
          <cell r="D4">
            <v>98.8</v>
          </cell>
          <cell r="E4">
            <v>109.2</v>
          </cell>
          <cell r="H4" t="str">
            <v>%</v>
          </cell>
        </row>
        <row r="5">
          <cell r="B5" t="str">
            <v>N1 Max</v>
          </cell>
          <cell r="D5">
            <v>98.8</v>
          </cell>
          <cell r="E5">
            <v>109.2</v>
          </cell>
          <cell r="H5" t="str">
            <v>%</v>
          </cell>
        </row>
        <row r="6">
          <cell r="B6" t="str">
            <v>N2 Idle</v>
          </cell>
          <cell r="D6">
            <v>55.1</v>
          </cell>
          <cell r="E6">
            <v>65.099999999999994</v>
          </cell>
          <cell r="H6" t="str">
            <v>%</v>
          </cell>
        </row>
        <row r="7">
          <cell r="B7" t="str">
            <v>N2 Idle</v>
          </cell>
          <cell r="D7">
            <v>57</v>
          </cell>
          <cell r="E7">
            <v>63</v>
          </cell>
          <cell r="H7" t="str">
            <v>%</v>
          </cell>
        </row>
        <row r="8">
          <cell r="B8" t="str">
            <v>N2 Max</v>
          </cell>
          <cell r="D8">
            <v>99.8</v>
          </cell>
          <cell r="E8">
            <v>110.3</v>
          </cell>
          <cell r="H8" t="str">
            <v>%</v>
          </cell>
        </row>
        <row r="9">
          <cell r="B9" t="str">
            <v>N2 Max</v>
          </cell>
          <cell r="D9">
            <v>99.8</v>
          </cell>
          <cell r="E9">
            <v>110.3</v>
          </cell>
          <cell r="H9" t="str">
            <v>%</v>
          </cell>
        </row>
        <row r="10">
          <cell r="B10" t="str">
            <v>EGT Idle</v>
          </cell>
          <cell r="D10">
            <v>370.5</v>
          </cell>
          <cell r="E10">
            <v>456.8</v>
          </cell>
          <cell r="H10" t="str">
            <v>°C</v>
          </cell>
        </row>
        <row r="11">
          <cell r="B11" t="str">
            <v>EGT Idle</v>
          </cell>
          <cell r="D11">
            <v>380</v>
          </cell>
          <cell r="E11">
            <v>472.5</v>
          </cell>
          <cell r="H11" t="str">
            <v>°C</v>
          </cell>
        </row>
        <row r="12">
          <cell r="B12" t="str">
            <v>EGT Max (TO/GA)</v>
          </cell>
          <cell r="D12">
            <v>603.29999999999995</v>
          </cell>
          <cell r="E12">
            <v>666.8</v>
          </cell>
          <cell r="H12" t="str">
            <v>°C</v>
          </cell>
        </row>
        <row r="13">
          <cell r="B13" t="str">
            <v>EGT Max (TO/GA)</v>
          </cell>
          <cell r="D13">
            <v>617.5</v>
          </cell>
          <cell r="E13">
            <v>682.5</v>
          </cell>
          <cell r="H13" t="str">
            <v>°C</v>
          </cell>
        </row>
        <row r="14">
          <cell r="B14" t="str">
            <v>EGT Max Continuous</v>
          </cell>
          <cell r="D14">
            <v>579.5</v>
          </cell>
          <cell r="E14">
            <v>640.5</v>
          </cell>
          <cell r="H14" t="str">
            <v>°C</v>
          </cell>
        </row>
        <row r="15">
          <cell r="B15" t="str">
            <v>EGT Max Continuous</v>
          </cell>
          <cell r="D15">
            <v>579.5</v>
          </cell>
          <cell r="E15">
            <v>640.5</v>
          </cell>
          <cell r="H15" t="str">
            <v>°C</v>
          </cell>
        </row>
        <row r="16">
          <cell r="B16" t="str">
            <v>Oil Pressure Min</v>
          </cell>
          <cell r="D16">
            <v>12.4</v>
          </cell>
          <cell r="E16">
            <v>13.7</v>
          </cell>
          <cell r="H16" t="str">
            <v>psi</v>
          </cell>
        </row>
        <row r="17">
          <cell r="B17" t="str">
            <v>Oil Pressure Min</v>
          </cell>
          <cell r="D17">
            <v>12.4</v>
          </cell>
          <cell r="E17">
            <v>13.7</v>
          </cell>
          <cell r="H17" t="str">
            <v>psi</v>
          </cell>
        </row>
        <row r="18">
          <cell r="B18" t="str">
            <v>Oil Pressure Max</v>
          </cell>
          <cell r="D18">
            <v>137.80000000000001</v>
          </cell>
          <cell r="E18">
            <v>152.30000000000001</v>
          </cell>
          <cell r="H18" t="str">
            <v>psi</v>
          </cell>
        </row>
        <row r="19">
          <cell r="B19" t="str">
            <v>Oil Pressure Max</v>
          </cell>
          <cell r="D19">
            <v>137.80000000000001</v>
          </cell>
          <cell r="E19">
            <v>152.30000000000001</v>
          </cell>
          <cell r="H19" t="str">
            <v>psi</v>
          </cell>
        </row>
        <row r="20">
          <cell r="B20" t="str">
            <v>Oil Temp Max Continuous</v>
          </cell>
          <cell r="D20">
            <v>133</v>
          </cell>
          <cell r="E20">
            <v>147</v>
          </cell>
          <cell r="H20" t="str">
            <v>°C</v>
          </cell>
        </row>
        <row r="21">
          <cell r="B21" t="str">
            <v>Oil Temp Max Continuous</v>
          </cell>
          <cell r="D21">
            <v>133</v>
          </cell>
          <cell r="E21">
            <v>147</v>
          </cell>
          <cell r="H21" t="str">
            <v>°C</v>
          </cell>
        </row>
        <row r="22">
          <cell r="B22" t="str">
            <v>Oil Temp Max Transient</v>
          </cell>
          <cell r="D22">
            <v>147.30000000000001</v>
          </cell>
          <cell r="E22">
            <v>162.80000000000001</v>
          </cell>
          <cell r="H22" t="str">
            <v>°C</v>
          </cell>
        </row>
        <row r="23">
          <cell r="B23" t="str">
            <v>Oil Temp Max Transient</v>
          </cell>
          <cell r="D23">
            <v>147.30000000000001</v>
          </cell>
          <cell r="E23">
            <v>162.80000000000001</v>
          </cell>
          <cell r="H23" t="str">
            <v>°C</v>
          </cell>
        </row>
        <row r="24">
          <cell r="B24" t="str">
            <v>Oil Temp Start Min</v>
          </cell>
          <cell r="D24">
            <v>-38</v>
          </cell>
          <cell r="E24">
            <v>-42</v>
          </cell>
          <cell r="H24" t="str">
            <v>°C</v>
          </cell>
        </row>
        <row r="25">
          <cell r="B25" t="str">
            <v>Oil Temp Start Min</v>
          </cell>
          <cell r="D25">
            <v>-38</v>
          </cell>
          <cell r="E25">
            <v>-42</v>
          </cell>
          <cell r="H25" t="str">
            <v>°C</v>
          </cell>
        </row>
        <row r="26">
          <cell r="B26" t="str">
            <v>Oil Quantity Min</v>
          </cell>
          <cell r="D26">
            <v>9</v>
          </cell>
          <cell r="E26">
            <v>13.7</v>
          </cell>
          <cell r="H26" t="str">
            <v>qt</v>
          </cell>
        </row>
        <row r="27">
          <cell r="B27" t="str">
            <v>Oil Quantity Min</v>
          </cell>
          <cell r="D27">
            <v>9</v>
          </cell>
          <cell r="E27">
            <v>13.7</v>
          </cell>
          <cell r="H27" t="str">
            <v>qt</v>
          </cell>
        </row>
        <row r="28">
          <cell r="B28" t="str">
            <v>Fuel Flow Cruise</v>
          </cell>
          <cell r="D28">
            <v>2375</v>
          </cell>
          <cell r="E28">
            <v>3150</v>
          </cell>
          <cell r="H28" t="str">
            <v>kg/hr</v>
          </cell>
        </row>
        <row r="29">
          <cell r="B29" t="str">
            <v>Fuel Flow Cruise</v>
          </cell>
          <cell r="D29">
            <v>2375</v>
          </cell>
          <cell r="E29">
            <v>3045</v>
          </cell>
          <cell r="H29" t="str">
            <v>kg/hr</v>
          </cell>
        </row>
        <row r="30">
          <cell r="B30" t="str">
            <v>Max Thrust</v>
          </cell>
          <cell r="D30">
            <v>25650</v>
          </cell>
          <cell r="E30">
            <v>28350</v>
          </cell>
          <cell r="H30" t="str">
            <v>lbf</v>
          </cell>
        </row>
        <row r="31">
          <cell r="B31" t="str">
            <v>Max Thrust</v>
          </cell>
          <cell r="D31">
            <v>28500</v>
          </cell>
          <cell r="E31">
            <v>34650</v>
          </cell>
          <cell r="H31" t="str">
            <v>lbf</v>
          </cell>
        </row>
        <row r="32">
          <cell r="B32" t="str">
            <v>Starter Limit</v>
          </cell>
          <cell r="D32">
            <v>2.9</v>
          </cell>
          <cell r="E32">
            <v>3.2</v>
          </cell>
          <cell r="H32" t="str">
            <v>cycles</v>
          </cell>
        </row>
        <row r="33">
          <cell r="B33" t="str">
            <v>Starter Limit</v>
          </cell>
          <cell r="D33">
            <v>2.9</v>
          </cell>
          <cell r="E33">
            <v>3.2</v>
          </cell>
          <cell r="H33" t="str">
            <v>cycles</v>
          </cell>
        </row>
      </sheetData>
      <sheetData sheetId="2"/>
      <sheetData sheetId="3"/>
      <sheetData sheetId="4">
        <row r="4">
          <cell r="I4" t="str">
            <v>N1 Idle</v>
          </cell>
        </row>
        <row r="5">
          <cell r="I5" t="str">
            <v>N1 Max</v>
          </cell>
        </row>
        <row r="6">
          <cell r="I6" t="str">
            <v>N2 Idle</v>
          </cell>
        </row>
        <row r="7">
          <cell r="I7" t="str">
            <v>N2 Max</v>
          </cell>
        </row>
        <row r="8">
          <cell r="I8" t="str">
            <v>EGT Idle</v>
          </cell>
        </row>
        <row r="9">
          <cell r="I9" t="str">
            <v>EGT Max (TO/GA)</v>
          </cell>
        </row>
        <row r="10">
          <cell r="I10" t="str">
            <v>EGT Max Continuous</v>
          </cell>
        </row>
        <row r="11">
          <cell r="I11" t="str">
            <v>Oil Pressure Min</v>
          </cell>
        </row>
        <row r="12">
          <cell r="I12" t="str">
            <v>Oil Pressure Max</v>
          </cell>
        </row>
        <row r="13">
          <cell r="I13" t="str">
            <v>Oil Temp Max Continuous</v>
          </cell>
        </row>
        <row r="14">
          <cell r="I14" t="str">
            <v>Oil Temp Max Transient</v>
          </cell>
        </row>
        <row r="15">
          <cell r="I15" t="str">
            <v>Oil Temp Start Min</v>
          </cell>
        </row>
        <row r="16">
          <cell r="I16" t="str">
            <v>Oil Quantity Min</v>
          </cell>
        </row>
        <row r="17">
          <cell r="I17" t="str">
            <v>Fuel Flow Cruise</v>
          </cell>
        </row>
        <row r="18">
          <cell r="I18" t="str">
            <v>Max Thrust</v>
          </cell>
        </row>
        <row r="19">
          <cell r="I19" t="str">
            <v>Starter Limit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5CCF0-ABEB-4265-87C3-1C758BEBCA4B}" name="Table1" displayName="Table1" ref="A1:H50" totalsRowShown="0" headerRowDxfId="12" dataDxfId="11" headerRowBorderDxfId="9" tableBorderDxfId="10" totalsRowBorderDxfId="8">
  <autoFilter ref="A1:H50" xr:uid="{D2A5CCF0-ABEB-4265-87C3-1C758BEBCA4B}"/>
  <tableColumns count="8">
    <tableColumn id="1" xr3:uid="{0DA1685D-1DAA-4939-A523-E44B2EB10087}" name="TimeStamp" dataDxfId="7"/>
    <tableColumn id="2" xr3:uid="{ABF6D2AB-B396-4AC2-8814-E35BC8F55AB3}" name="Engine Type" dataDxfId="6"/>
    <tableColumn id="3" xr3:uid="{9318A061-273D-4E11-9C3E-4B53A0DA6757}" name="Parameter" dataDxfId="5"/>
    <tableColumn id="4" xr3:uid="{3EA95BBB-4B4D-4070-9BBB-19357E3B1F01}" name="Unit" dataDxfId="4">
      <calculatedColumnFormula>IFERROR(INDEX([1]ReferenceData!H:H, MATCH(TRIM(UPPER(C2)), [1]ReferenceData!B:B, 0)), "")</calculatedColumnFormula>
    </tableColumn>
    <tableColumn id="5" xr3:uid="{5C22D47A-915B-45DF-B190-01568F130D5D}" name="Value" dataDxfId="3"/>
    <tableColumn id="6" xr3:uid="{CE5382E1-AE97-4CD9-9836-0D628645BDA3}" name="Upper Tolerance" dataDxfId="2">
      <calculatedColumnFormula>INDEX([1]ReferenceData!E:E, MATCH(Table1[[#This Row],[Parameter]], [1]ReferenceData!B:B, 0))</calculatedColumnFormula>
    </tableColumn>
    <tableColumn id="7" xr3:uid="{4152B182-823B-4141-BC0D-521B5E35B7FE}" name="Lower Tolerance" dataDxfId="1">
      <calculatedColumnFormula>INDEX([1]ReferenceData!D:D, MATCH(Table1[[#This Row],[Parameter]], [1]ReferenceData!B:B, 0))</calculatedColumnFormula>
    </tableColumn>
    <tableColumn id="14" xr3:uid="{887844A3-53CD-4B2C-8438-530EDF673483}" name="Fault Status" dataDxfId="0">
      <calculatedColumnFormula>IF(OR(E2&gt;F2, E2&lt;G2), "Fault", "Normal")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zoomScale="70" zoomScaleNormal="70" workbookViewId="0">
      <selection activeCell="K24" sqref="K24"/>
    </sheetView>
  </sheetViews>
  <sheetFormatPr defaultColWidth="15.453125" defaultRowHeight="14.5" x14ac:dyDescent="0.35"/>
  <cols>
    <col min="1" max="1" width="18.7265625" style="4" bestFit="1" customWidth="1"/>
    <col min="2" max="2" width="15.453125" style="4"/>
    <col min="3" max="3" width="18.54296875" style="4" bestFit="1" customWidth="1"/>
    <col min="4" max="5" width="15.453125" style="4"/>
    <col min="6" max="6" width="21.7265625" style="4" customWidth="1"/>
    <col min="7" max="7" width="33.26953125" style="4" bestFit="1" customWidth="1"/>
    <col min="8" max="8" width="33.26953125" style="4" customWidth="1"/>
    <col min="9" max="16384" width="15.453125" style="4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0" x14ac:dyDescent="0.35">
      <c r="A2" s="5"/>
      <c r="B2" s="6"/>
      <c r="C2" s="6"/>
      <c r="D2" s="6"/>
      <c r="E2" s="6"/>
      <c r="F2" s="6" t="e">
        <f>INDEX([1]ReferenceData!E:E, MATCH(Table1[[#This Row],[Parameter]], [1]ReferenceData!B:B, 0))</f>
        <v>#N/A</v>
      </c>
      <c r="G2" s="7" t="e">
        <f>INDEX([1]ReferenceData!D:D, MATCH(Table1[[#This Row],[Parameter]], [1]ReferenceData!B:B, 0))</f>
        <v>#N/A</v>
      </c>
      <c r="H2" s="8" t="e">
        <f t="shared" ref="H2:H50" si="0">IF(OR(E2&gt;F2, E2&lt;G2), "Fault", "Normal")</f>
        <v>#N/A</v>
      </c>
    </row>
    <row r="3" spans="1:10" x14ac:dyDescent="0.35">
      <c r="A3" s="9"/>
      <c r="B3" s="10"/>
      <c r="C3" s="10"/>
      <c r="D3" s="10" t="str">
        <f>IFERROR(INDEX([1]ReferenceData!H:H, MATCH(TRIM(UPPER(C3)), [1]ReferenceData!B:B, 0)), "")</f>
        <v/>
      </c>
      <c r="E3" s="10"/>
      <c r="F3" s="10" t="e">
        <f>INDEX([1]ReferenceData!E:E, MATCH(Table1[[#This Row],[Parameter]], [1]ReferenceData!B:B, 0))</f>
        <v>#N/A</v>
      </c>
      <c r="G3" s="11" t="e">
        <f>INDEX([1]ReferenceData!D:D, MATCH(Table1[[#This Row],[Parameter]], [1]ReferenceData!B:B, 0))</f>
        <v>#N/A</v>
      </c>
      <c r="H3" s="8" t="e">
        <f t="shared" si="0"/>
        <v>#N/A</v>
      </c>
    </row>
    <row r="4" spans="1:10" x14ac:dyDescent="0.35">
      <c r="A4" s="12"/>
      <c r="B4" s="6"/>
      <c r="C4" s="6"/>
      <c r="D4" s="6" t="str">
        <f>IFERROR(INDEX([1]ReferenceData!H:H, MATCH(TRIM(UPPER(C4)), [1]ReferenceData!B:B, 0)), "")</f>
        <v/>
      </c>
      <c r="E4" s="6"/>
      <c r="F4" s="6" t="e">
        <f>INDEX([1]ReferenceData!E:E, MATCH(Table1[[#This Row],[Parameter]], [1]ReferenceData!B:B, 0))</f>
        <v>#N/A</v>
      </c>
      <c r="G4" s="7" t="e">
        <f>INDEX([1]ReferenceData!D:D, MATCH(Table1[[#This Row],[Parameter]], [1]ReferenceData!B:B, 0))</f>
        <v>#N/A</v>
      </c>
      <c r="H4" s="8" t="e">
        <f t="shared" si="0"/>
        <v>#N/A</v>
      </c>
    </row>
    <row r="5" spans="1:10" x14ac:dyDescent="0.35">
      <c r="A5" s="13"/>
      <c r="B5" s="10"/>
      <c r="C5" s="10"/>
      <c r="D5" s="10" t="str">
        <f>IFERROR(INDEX([1]ReferenceData!H:H, MATCH(TRIM(UPPER(C5)), [1]ReferenceData!B:B, 0)), "")</f>
        <v/>
      </c>
      <c r="E5" s="10"/>
      <c r="F5" s="10" t="e">
        <f>INDEX([1]ReferenceData!E:E, MATCH(Table1[[#This Row],[Parameter]], [1]ReferenceData!B:B, 0))</f>
        <v>#N/A</v>
      </c>
      <c r="G5" s="11" t="e">
        <f>INDEX([1]ReferenceData!D:D, MATCH(Table1[[#This Row],[Parameter]], [1]ReferenceData!B:B, 0))</f>
        <v>#N/A</v>
      </c>
      <c r="H5" s="8" t="e">
        <f t="shared" si="0"/>
        <v>#N/A</v>
      </c>
    </row>
    <row r="6" spans="1:10" x14ac:dyDescent="0.35">
      <c r="A6" s="14"/>
      <c r="B6" s="6"/>
      <c r="C6" s="6"/>
      <c r="D6" s="6" t="str">
        <f>IFERROR(INDEX([1]ReferenceData!H:H, MATCH(TRIM(UPPER(C6)), [1]ReferenceData!B:B, 0)), "")</f>
        <v/>
      </c>
      <c r="E6" s="15"/>
      <c r="F6" s="6" t="e">
        <f>INDEX([1]ReferenceData!E:E, MATCH(Table1[[#This Row],[Parameter]], [1]ReferenceData!B:B, 0))</f>
        <v>#N/A</v>
      </c>
      <c r="G6" s="7" t="e">
        <f>INDEX([1]ReferenceData!D:D, MATCH(Table1[[#This Row],[Parameter]], [1]ReferenceData!B:B, 0))</f>
        <v>#N/A</v>
      </c>
      <c r="H6" s="8" t="e">
        <f t="shared" si="0"/>
        <v>#N/A</v>
      </c>
    </row>
    <row r="7" spans="1:10" x14ac:dyDescent="0.35">
      <c r="A7" s="13"/>
      <c r="B7" s="10"/>
      <c r="C7" s="10"/>
      <c r="D7" s="10" t="str">
        <f>IFERROR(INDEX([1]ReferenceData!H:H, MATCH(TRIM(UPPER(C7)), [1]ReferenceData!B:B, 0)), "")</f>
        <v/>
      </c>
      <c r="E7" s="10"/>
      <c r="F7" s="10" t="e">
        <f>INDEX([1]ReferenceData!E:E, MATCH(Table1[[#This Row],[Parameter]], [1]ReferenceData!B:B, 0))</f>
        <v>#N/A</v>
      </c>
      <c r="G7" s="11" t="e">
        <f>INDEX([1]ReferenceData!D:D, MATCH(Table1[[#This Row],[Parameter]], [1]ReferenceData!B:B, 0))</f>
        <v>#N/A</v>
      </c>
      <c r="H7" s="8" t="e">
        <f t="shared" si="0"/>
        <v>#N/A</v>
      </c>
    </row>
    <row r="8" spans="1:10" x14ac:dyDescent="0.35">
      <c r="A8" s="14"/>
      <c r="B8" s="6"/>
      <c r="C8" s="6"/>
      <c r="D8" s="6" t="str">
        <f>IFERROR(INDEX([1]ReferenceData!H:H, MATCH(TRIM(UPPER(C8)), [1]ReferenceData!B:B, 0)), "")</f>
        <v/>
      </c>
      <c r="E8" s="6"/>
      <c r="F8" s="6" t="e">
        <f>INDEX([1]ReferenceData!E:E, MATCH(Table1[[#This Row],[Parameter]], [1]ReferenceData!B:B, 0))</f>
        <v>#N/A</v>
      </c>
      <c r="G8" s="7" t="e">
        <f>INDEX([1]ReferenceData!D:D, MATCH(Table1[[#This Row],[Parameter]], [1]ReferenceData!B:B, 0))</f>
        <v>#N/A</v>
      </c>
      <c r="H8" s="8" t="e">
        <f t="shared" si="0"/>
        <v>#N/A</v>
      </c>
    </row>
    <row r="9" spans="1:10" x14ac:dyDescent="0.35">
      <c r="A9" s="13"/>
      <c r="B9" s="10"/>
      <c r="C9" s="10"/>
      <c r="D9" s="10" t="str">
        <f>IFERROR(INDEX([1]ReferenceData!H:H, MATCH(TRIM(UPPER(C9)), [1]ReferenceData!B:B, 0)), "")</f>
        <v/>
      </c>
      <c r="E9" s="10"/>
      <c r="F9" s="10" t="e">
        <f>INDEX([1]ReferenceData!E:E, MATCH(Table1[[#This Row],[Parameter]], [1]ReferenceData!B:B, 0))</f>
        <v>#N/A</v>
      </c>
      <c r="G9" s="11" t="e">
        <f>INDEX([1]ReferenceData!D:D, MATCH(Table1[[#This Row],[Parameter]], [1]ReferenceData!B:B, 0))</f>
        <v>#N/A</v>
      </c>
      <c r="H9" s="8" t="e">
        <f t="shared" si="0"/>
        <v>#N/A</v>
      </c>
    </row>
    <row r="10" spans="1:10" x14ac:dyDescent="0.35">
      <c r="A10" s="14"/>
      <c r="B10" s="6"/>
      <c r="C10" s="6"/>
      <c r="D10" s="6" t="str">
        <f>IFERROR(INDEX([1]ReferenceData!H:H, MATCH(TRIM(UPPER(C10)), [1]ReferenceData!B:B, 0)), "")</f>
        <v/>
      </c>
      <c r="E10" s="6"/>
      <c r="F10" s="6" t="e">
        <f>INDEX([1]ReferenceData!E:E, MATCH(Table1[[#This Row],[Parameter]], [1]ReferenceData!B:B, 0))</f>
        <v>#N/A</v>
      </c>
      <c r="G10" s="7" t="e">
        <f>INDEX([1]ReferenceData!D:D, MATCH(Table1[[#This Row],[Parameter]], [1]ReferenceData!B:B, 0))</f>
        <v>#N/A</v>
      </c>
      <c r="H10" s="8" t="e">
        <f t="shared" si="0"/>
        <v>#N/A</v>
      </c>
      <c r="J10" s="16"/>
    </row>
    <row r="11" spans="1:10" x14ac:dyDescent="0.35">
      <c r="A11" s="13"/>
      <c r="B11" s="10"/>
      <c r="C11" s="10"/>
      <c r="D11" s="10" t="str">
        <f>IFERROR(INDEX([1]ReferenceData!H:H, MATCH(TRIM(UPPER(C11)), [1]ReferenceData!B:B, 0)), "")</f>
        <v/>
      </c>
      <c r="E11" s="10"/>
      <c r="F11" s="10" t="e">
        <f>INDEX([1]ReferenceData!E:E, MATCH(Table1[[#This Row],[Parameter]], [1]ReferenceData!B:B, 0))</f>
        <v>#N/A</v>
      </c>
      <c r="G11" s="11" t="e">
        <f>INDEX([1]ReferenceData!D:D, MATCH(Table1[[#This Row],[Parameter]], [1]ReferenceData!B:B, 0))</f>
        <v>#N/A</v>
      </c>
      <c r="H11" s="8" t="e">
        <f t="shared" si="0"/>
        <v>#N/A</v>
      </c>
    </row>
    <row r="12" spans="1:10" x14ac:dyDescent="0.35">
      <c r="A12" s="14"/>
      <c r="B12" s="6"/>
      <c r="C12" s="6"/>
      <c r="D12" s="6" t="str">
        <f>IFERROR(INDEX([1]ReferenceData!H:H, MATCH(TRIM(UPPER(C12)), [1]ReferenceData!B:B, 0)), "")</f>
        <v/>
      </c>
      <c r="E12" s="6"/>
      <c r="F12" s="6" t="e">
        <f>INDEX([1]ReferenceData!E:E, MATCH(Table1[[#This Row],[Parameter]], [1]ReferenceData!B:B, 0))</f>
        <v>#N/A</v>
      </c>
      <c r="G12" s="7" t="e">
        <f>INDEX([1]ReferenceData!D:D, MATCH(Table1[[#This Row],[Parameter]], [1]ReferenceData!B:B, 0))</f>
        <v>#N/A</v>
      </c>
      <c r="H12" s="8" t="e">
        <f t="shared" si="0"/>
        <v>#N/A</v>
      </c>
    </row>
    <row r="13" spans="1:10" x14ac:dyDescent="0.35">
      <c r="A13" s="13"/>
      <c r="B13" s="10"/>
      <c r="C13" s="10"/>
      <c r="D13" s="10" t="str">
        <f>IFERROR(INDEX([1]ReferenceData!H:H, MATCH(TRIM(UPPER(C13)), [1]ReferenceData!B:B, 0)), "")</f>
        <v/>
      </c>
      <c r="E13" s="10"/>
      <c r="F13" s="10" t="e">
        <f>INDEX([1]ReferenceData!E:E, MATCH(Table1[[#This Row],[Parameter]], [1]ReferenceData!B:B, 0))</f>
        <v>#N/A</v>
      </c>
      <c r="G13" s="11" t="e">
        <f>INDEX([1]ReferenceData!D:D, MATCH(Table1[[#This Row],[Parameter]], [1]ReferenceData!B:B, 0))</f>
        <v>#N/A</v>
      </c>
      <c r="H13" s="8" t="e">
        <f t="shared" si="0"/>
        <v>#N/A</v>
      </c>
    </row>
    <row r="14" spans="1:10" x14ac:dyDescent="0.35">
      <c r="A14" s="14"/>
      <c r="B14" s="6"/>
      <c r="C14" s="6"/>
      <c r="D14" s="6" t="str">
        <f>IFERROR(INDEX([1]ReferenceData!H:H, MATCH(TRIM(UPPER(C14)), [1]ReferenceData!B:B, 0)), "")</f>
        <v/>
      </c>
      <c r="E14" s="6"/>
      <c r="F14" s="6" t="e">
        <f>INDEX([1]ReferenceData!E:E, MATCH(Table1[[#This Row],[Parameter]], [1]ReferenceData!B:B, 0))</f>
        <v>#N/A</v>
      </c>
      <c r="G14" s="7" t="e">
        <f>INDEX([1]ReferenceData!D:D, MATCH(Table1[[#This Row],[Parameter]], [1]ReferenceData!B:B, 0))</f>
        <v>#N/A</v>
      </c>
      <c r="H14" s="8" t="e">
        <f t="shared" si="0"/>
        <v>#N/A</v>
      </c>
    </row>
    <row r="15" spans="1:10" x14ac:dyDescent="0.35">
      <c r="A15" s="13"/>
      <c r="B15" s="10"/>
      <c r="C15" s="10"/>
      <c r="D15" s="10" t="str">
        <f>IFERROR(INDEX([1]ReferenceData!H:H, MATCH(TRIM(UPPER(C15)), [1]ReferenceData!B:B, 0)), "")</f>
        <v/>
      </c>
      <c r="E15" s="10"/>
      <c r="F15" s="10" t="e">
        <f>INDEX([1]ReferenceData!E:E, MATCH(Table1[[#This Row],[Parameter]], [1]ReferenceData!B:B, 0))</f>
        <v>#N/A</v>
      </c>
      <c r="G15" s="11" t="e">
        <f>INDEX([1]ReferenceData!D:D, MATCH(Table1[[#This Row],[Parameter]], [1]ReferenceData!B:B, 0))</f>
        <v>#N/A</v>
      </c>
      <c r="H15" s="8" t="e">
        <f t="shared" si="0"/>
        <v>#N/A</v>
      </c>
    </row>
    <row r="16" spans="1:10" x14ac:dyDescent="0.35">
      <c r="A16" s="14"/>
      <c r="B16" s="6"/>
      <c r="C16" s="6"/>
      <c r="D16" s="6" t="str">
        <f>IFERROR(INDEX([1]ReferenceData!H:H, MATCH(TRIM(UPPER(C16)), [1]ReferenceData!B:B, 0)), "")</f>
        <v/>
      </c>
      <c r="E16" s="6"/>
      <c r="F16" s="6" t="e">
        <f>INDEX([1]ReferenceData!E:E, MATCH(Table1[[#This Row],[Parameter]], [1]ReferenceData!B:B, 0))</f>
        <v>#N/A</v>
      </c>
      <c r="G16" s="7" t="e">
        <f>INDEX([1]ReferenceData!D:D, MATCH(Table1[[#This Row],[Parameter]], [1]ReferenceData!B:B, 0))</f>
        <v>#N/A</v>
      </c>
      <c r="H16" s="8" t="e">
        <f t="shared" si="0"/>
        <v>#N/A</v>
      </c>
    </row>
    <row r="17" spans="1:8" x14ac:dyDescent="0.35">
      <c r="A17" s="13"/>
      <c r="B17" s="10"/>
      <c r="C17" s="10"/>
      <c r="D17" s="10" t="str">
        <f>IFERROR(INDEX([1]ReferenceData!H:H, MATCH(TRIM(UPPER(C17)), [1]ReferenceData!B:B, 0)), "")</f>
        <v/>
      </c>
      <c r="E17" s="10"/>
      <c r="F17" s="10" t="e">
        <f>INDEX([1]ReferenceData!E:E, MATCH(Table1[[#This Row],[Parameter]], [1]ReferenceData!B:B, 0))</f>
        <v>#N/A</v>
      </c>
      <c r="G17" s="11" t="e">
        <f>INDEX([1]ReferenceData!D:D, MATCH(Table1[[#This Row],[Parameter]], [1]ReferenceData!B:B, 0))</f>
        <v>#N/A</v>
      </c>
      <c r="H17" s="8" t="e">
        <f t="shared" si="0"/>
        <v>#N/A</v>
      </c>
    </row>
    <row r="18" spans="1:8" x14ac:dyDescent="0.35">
      <c r="A18" s="14"/>
      <c r="B18" s="6"/>
      <c r="C18" s="6"/>
      <c r="D18" s="6" t="str">
        <f>IFERROR(INDEX([1]ReferenceData!H:H, MATCH(TRIM(UPPER(C18)), [1]ReferenceData!B:B, 0)), "")</f>
        <v/>
      </c>
      <c r="E18" s="6"/>
      <c r="F18" s="6" t="e">
        <f>INDEX([1]ReferenceData!E:E, MATCH(Table1[[#This Row],[Parameter]], [1]ReferenceData!B:B, 0))</f>
        <v>#N/A</v>
      </c>
      <c r="G18" s="7" t="e">
        <f>INDEX([1]ReferenceData!D:D, MATCH(Table1[[#This Row],[Parameter]], [1]ReferenceData!B:B, 0))</f>
        <v>#N/A</v>
      </c>
      <c r="H18" s="8" t="e">
        <f t="shared" si="0"/>
        <v>#N/A</v>
      </c>
    </row>
    <row r="19" spans="1:8" x14ac:dyDescent="0.35">
      <c r="A19" s="13"/>
      <c r="B19" s="10"/>
      <c r="C19" s="10"/>
      <c r="D19" s="10" t="str">
        <f>IFERROR(INDEX([1]ReferenceData!H:H, MATCH(TRIM(UPPER(C19)), [1]ReferenceData!B:B, 0)), "")</f>
        <v/>
      </c>
      <c r="E19" s="10"/>
      <c r="F19" s="10" t="e">
        <f>INDEX([1]ReferenceData!E:E, MATCH(Table1[[#This Row],[Parameter]], [1]ReferenceData!B:B, 0))</f>
        <v>#N/A</v>
      </c>
      <c r="G19" s="11" t="e">
        <f>INDEX([1]ReferenceData!D:D, MATCH(Table1[[#This Row],[Parameter]], [1]ReferenceData!B:B, 0))</f>
        <v>#N/A</v>
      </c>
      <c r="H19" s="8" t="e">
        <f t="shared" si="0"/>
        <v>#N/A</v>
      </c>
    </row>
    <row r="20" spans="1:8" x14ac:dyDescent="0.35">
      <c r="A20" s="14"/>
      <c r="B20" s="6"/>
      <c r="C20" s="6"/>
      <c r="D20" s="6" t="str">
        <f>IFERROR(INDEX([1]ReferenceData!H:H, MATCH(TRIM(UPPER(C20)), [1]ReferenceData!B:B, 0)), "")</f>
        <v/>
      </c>
      <c r="E20" s="6"/>
      <c r="F20" s="6" t="e">
        <f>INDEX([1]ReferenceData!E:E, MATCH(Table1[[#This Row],[Parameter]], [1]ReferenceData!B:B, 0))</f>
        <v>#N/A</v>
      </c>
      <c r="G20" s="7" t="e">
        <f>INDEX([1]ReferenceData!D:D, MATCH(Table1[[#This Row],[Parameter]], [1]ReferenceData!B:B, 0))</f>
        <v>#N/A</v>
      </c>
      <c r="H20" s="8" t="e">
        <f t="shared" si="0"/>
        <v>#N/A</v>
      </c>
    </row>
    <row r="21" spans="1:8" x14ac:dyDescent="0.35">
      <c r="A21" s="13"/>
      <c r="B21" s="10"/>
      <c r="C21" s="10"/>
      <c r="D21" s="10" t="str">
        <f>IFERROR(INDEX([1]ReferenceData!H:H, MATCH(TRIM(UPPER(C21)), [1]ReferenceData!B:B, 0)), "")</f>
        <v/>
      </c>
      <c r="E21" s="10"/>
      <c r="F21" s="10" t="e">
        <f>INDEX([1]ReferenceData!E:E, MATCH(Table1[[#This Row],[Parameter]], [1]ReferenceData!B:B, 0))</f>
        <v>#N/A</v>
      </c>
      <c r="G21" s="11" t="e">
        <f>INDEX([1]ReferenceData!D:D, MATCH(Table1[[#This Row],[Parameter]], [1]ReferenceData!B:B, 0))</f>
        <v>#N/A</v>
      </c>
      <c r="H21" s="8" t="e">
        <f t="shared" si="0"/>
        <v>#N/A</v>
      </c>
    </row>
    <row r="22" spans="1:8" x14ac:dyDescent="0.35">
      <c r="A22" s="14"/>
      <c r="B22" s="6"/>
      <c r="C22" s="6"/>
      <c r="D22" s="6" t="str">
        <f>IFERROR(INDEX([1]ReferenceData!H:H, MATCH(TRIM(UPPER(C22)), [1]ReferenceData!B:B, 0)), "")</f>
        <v/>
      </c>
      <c r="E22" s="6"/>
      <c r="F22" s="6" t="e">
        <f>INDEX([1]ReferenceData!E:E, MATCH(Table1[[#This Row],[Parameter]], [1]ReferenceData!B:B, 0))</f>
        <v>#N/A</v>
      </c>
      <c r="G22" s="7" t="e">
        <f>INDEX([1]ReferenceData!D:D, MATCH(Table1[[#This Row],[Parameter]], [1]ReferenceData!B:B, 0))</f>
        <v>#N/A</v>
      </c>
      <c r="H22" s="8" t="e">
        <f t="shared" si="0"/>
        <v>#N/A</v>
      </c>
    </row>
    <row r="23" spans="1:8" x14ac:dyDescent="0.35">
      <c r="A23" s="13"/>
      <c r="B23" s="10"/>
      <c r="C23" s="10"/>
      <c r="D23" s="10" t="str">
        <f>IFERROR(INDEX([1]ReferenceData!H:H, MATCH(TRIM(UPPER(C23)), [1]ReferenceData!B:B, 0)), "")</f>
        <v/>
      </c>
      <c r="E23" s="10"/>
      <c r="F23" s="10" t="e">
        <f>INDEX([1]ReferenceData!E:E, MATCH(Table1[[#This Row],[Parameter]], [1]ReferenceData!B:B, 0))</f>
        <v>#N/A</v>
      </c>
      <c r="G23" s="11" t="e">
        <f>INDEX([1]ReferenceData!D:D, MATCH(Table1[[#This Row],[Parameter]], [1]ReferenceData!B:B, 0))</f>
        <v>#N/A</v>
      </c>
      <c r="H23" s="8" t="e">
        <f t="shared" si="0"/>
        <v>#N/A</v>
      </c>
    </row>
    <row r="24" spans="1:8" x14ac:dyDescent="0.35">
      <c r="A24" s="14"/>
      <c r="B24" s="6"/>
      <c r="C24" s="6"/>
      <c r="D24" s="6" t="str">
        <f>IFERROR(INDEX([1]ReferenceData!H:H, MATCH(TRIM(UPPER(C24)), [1]ReferenceData!B:B, 0)), "")</f>
        <v/>
      </c>
      <c r="E24" s="6"/>
      <c r="F24" s="6" t="e">
        <f>INDEX([1]ReferenceData!E:E, MATCH(Table1[[#This Row],[Parameter]], [1]ReferenceData!B:B, 0))</f>
        <v>#N/A</v>
      </c>
      <c r="G24" s="7" t="e">
        <f>INDEX([1]ReferenceData!D:D, MATCH(Table1[[#This Row],[Parameter]], [1]ReferenceData!B:B, 0))</f>
        <v>#N/A</v>
      </c>
      <c r="H24" s="8" t="e">
        <f t="shared" si="0"/>
        <v>#N/A</v>
      </c>
    </row>
    <row r="25" spans="1:8" x14ac:dyDescent="0.35">
      <c r="A25" s="13"/>
      <c r="B25" s="10"/>
      <c r="C25" s="10"/>
      <c r="D25" s="10" t="str">
        <f>IFERROR(INDEX([1]ReferenceData!H:H, MATCH(TRIM(UPPER(C25)), [1]ReferenceData!B:B, 0)), "")</f>
        <v/>
      </c>
      <c r="E25" s="10"/>
      <c r="F25" s="10" t="e">
        <f>INDEX([1]ReferenceData!E:E, MATCH(Table1[[#This Row],[Parameter]], [1]ReferenceData!B:B, 0))</f>
        <v>#N/A</v>
      </c>
      <c r="G25" s="11" t="e">
        <f>INDEX([1]ReferenceData!D:D, MATCH(Table1[[#This Row],[Parameter]], [1]ReferenceData!B:B, 0))</f>
        <v>#N/A</v>
      </c>
      <c r="H25" s="8" t="e">
        <f t="shared" si="0"/>
        <v>#N/A</v>
      </c>
    </row>
    <row r="26" spans="1:8" x14ac:dyDescent="0.35">
      <c r="A26" s="14"/>
      <c r="B26" s="6"/>
      <c r="C26" s="6"/>
      <c r="D26" s="6" t="str">
        <f>IFERROR(INDEX([1]ReferenceData!H:H, MATCH(TRIM(UPPER(C26)), [1]ReferenceData!B:B, 0)), "")</f>
        <v/>
      </c>
      <c r="E26" s="6"/>
      <c r="F26" s="6" t="e">
        <f>INDEX([1]ReferenceData!E:E, MATCH(Table1[[#This Row],[Parameter]], [1]ReferenceData!B:B, 0))</f>
        <v>#N/A</v>
      </c>
      <c r="G26" s="7" t="e">
        <f>INDEX([1]ReferenceData!D:D, MATCH(Table1[[#This Row],[Parameter]], [1]ReferenceData!B:B, 0))</f>
        <v>#N/A</v>
      </c>
      <c r="H26" s="8" t="e">
        <f t="shared" si="0"/>
        <v>#N/A</v>
      </c>
    </row>
    <row r="27" spans="1:8" x14ac:dyDescent="0.35">
      <c r="A27" s="13"/>
      <c r="B27" s="10"/>
      <c r="C27" s="10"/>
      <c r="D27" s="10" t="str">
        <f>IFERROR(INDEX([1]ReferenceData!H:H, MATCH(TRIM(UPPER(C27)), [1]ReferenceData!B:B, 0)), "")</f>
        <v/>
      </c>
      <c r="E27" s="10"/>
      <c r="F27" s="10" t="e">
        <f>INDEX([1]ReferenceData!E:E, MATCH(Table1[[#This Row],[Parameter]], [1]ReferenceData!B:B, 0))</f>
        <v>#N/A</v>
      </c>
      <c r="G27" s="11" t="e">
        <f>INDEX([1]ReferenceData!D:D, MATCH(Table1[[#This Row],[Parameter]], [1]ReferenceData!B:B, 0))</f>
        <v>#N/A</v>
      </c>
      <c r="H27" s="8" t="e">
        <f t="shared" si="0"/>
        <v>#N/A</v>
      </c>
    </row>
    <row r="28" spans="1:8" x14ac:dyDescent="0.35">
      <c r="A28" s="14"/>
      <c r="B28" s="6"/>
      <c r="C28" s="6"/>
      <c r="D28" s="6" t="str">
        <f>IFERROR(INDEX([1]ReferenceData!H:H, MATCH(TRIM(UPPER(C28)), [1]ReferenceData!B:B, 0)), "")</f>
        <v/>
      </c>
      <c r="E28" s="6"/>
      <c r="F28" s="6" t="e">
        <f>INDEX([1]ReferenceData!E:E, MATCH(Table1[[#This Row],[Parameter]], [1]ReferenceData!B:B, 0))</f>
        <v>#N/A</v>
      </c>
      <c r="G28" s="7" t="e">
        <f>INDEX([1]ReferenceData!D:D, MATCH(Table1[[#This Row],[Parameter]], [1]ReferenceData!B:B, 0))</f>
        <v>#N/A</v>
      </c>
      <c r="H28" s="8" t="e">
        <f t="shared" si="0"/>
        <v>#N/A</v>
      </c>
    </row>
    <row r="29" spans="1:8" x14ac:dyDescent="0.35">
      <c r="A29" s="13"/>
      <c r="B29" s="10"/>
      <c r="C29" s="10"/>
      <c r="D29" s="10" t="str">
        <f>IFERROR(INDEX([1]ReferenceData!H:H, MATCH(TRIM(UPPER(C29)), [1]ReferenceData!B:B, 0)), "")</f>
        <v/>
      </c>
      <c r="E29" s="10"/>
      <c r="F29" s="10" t="e">
        <f>INDEX([1]ReferenceData!E:E, MATCH(Table1[[#This Row],[Parameter]], [1]ReferenceData!B:B, 0))</f>
        <v>#N/A</v>
      </c>
      <c r="G29" s="11" t="e">
        <f>INDEX([1]ReferenceData!D:D, MATCH(Table1[[#This Row],[Parameter]], [1]ReferenceData!B:B, 0))</f>
        <v>#N/A</v>
      </c>
      <c r="H29" s="8" t="e">
        <f t="shared" si="0"/>
        <v>#N/A</v>
      </c>
    </row>
    <row r="30" spans="1:8" x14ac:dyDescent="0.35">
      <c r="A30" s="14"/>
      <c r="B30" s="6"/>
      <c r="C30" s="6"/>
      <c r="D30" s="6" t="str">
        <f>IFERROR(INDEX([1]ReferenceData!H:H, MATCH(TRIM(UPPER(C30)), [1]ReferenceData!B:B, 0)), "")</f>
        <v/>
      </c>
      <c r="E30" s="6"/>
      <c r="F30" s="6" t="e">
        <f>INDEX([1]ReferenceData!E:E, MATCH(Table1[[#This Row],[Parameter]], [1]ReferenceData!B:B, 0))</f>
        <v>#N/A</v>
      </c>
      <c r="G30" s="7" t="e">
        <f>INDEX([1]ReferenceData!D:D, MATCH(Table1[[#This Row],[Parameter]], [1]ReferenceData!B:B, 0))</f>
        <v>#N/A</v>
      </c>
      <c r="H30" s="8" t="e">
        <f t="shared" si="0"/>
        <v>#N/A</v>
      </c>
    </row>
    <row r="31" spans="1:8" x14ac:dyDescent="0.35">
      <c r="A31" s="13"/>
      <c r="B31" s="10"/>
      <c r="C31" s="10"/>
      <c r="D31" s="10" t="str">
        <f>IFERROR(INDEX([1]ReferenceData!H:H, MATCH(TRIM(UPPER(C31)), [1]ReferenceData!B:B, 0)), "")</f>
        <v/>
      </c>
      <c r="E31" s="10"/>
      <c r="F31" s="10" t="e">
        <f>INDEX([1]ReferenceData!E:E, MATCH(Table1[[#This Row],[Parameter]], [1]ReferenceData!B:B, 0))</f>
        <v>#N/A</v>
      </c>
      <c r="G31" s="11" t="e">
        <f>INDEX([1]ReferenceData!D:D, MATCH(Table1[[#This Row],[Parameter]], [1]ReferenceData!B:B, 0))</f>
        <v>#N/A</v>
      </c>
      <c r="H31" s="8" t="e">
        <f t="shared" si="0"/>
        <v>#N/A</v>
      </c>
    </row>
    <row r="32" spans="1:8" x14ac:dyDescent="0.35">
      <c r="A32" s="14"/>
      <c r="B32" s="6"/>
      <c r="C32" s="6"/>
      <c r="D32" s="6" t="str">
        <f>IFERROR(INDEX([1]ReferenceData!H:H, MATCH(TRIM(UPPER(C32)), [1]ReferenceData!B:B, 0)), "")</f>
        <v/>
      </c>
      <c r="E32" s="6"/>
      <c r="F32" s="6" t="e">
        <f>INDEX([1]ReferenceData!E:E, MATCH(Table1[[#This Row],[Parameter]], [1]ReferenceData!B:B, 0))</f>
        <v>#N/A</v>
      </c>
      <c r="G32" s="7" t="e">
        <f>INDEX([1]ReferenceData!D:D, MATCH(Table1[[#This Row],[Parameter]], [1]ReferenceData!B:B, 0))</f>
        <v>#N/A</v>
      </c>
      <c r="H32" s="8" t="e">
        <f t="shared" si="0"/>
        <v>#N/A</v>
      </c>
    </row>
    <row r="33" spans="1:8" x14ac:dyDescent="0.35">
      <c r="A33" s="13"/>
      <c r="B33" s="10"/>
      <c r="C33" s="10"/>
      <c r="D33" s="10" t="str">
        <f>IFERROR(INDEX([1]ReferenceData!H:H, MATCH(TRIM(UPPER(C33)), [1]ReferenceData!B:B, 0)), "")</f>
        <v/>
      </c>
      <c r="E33" s="10"/>
      <c r="F33" s="10" t="e">
        <f>INDEX([1]ReferenceData!E:E, MATCH(Table1[[#This Row],[Parameter]], [1]ReferenceData!B:B, 0))</f>
        <v>#N/A</v>
      </c>
      <c r="G33" s="11" t="e">
        <f>INDEX([1]ReferenceData!D:D, MATCH(Table1[[#This Row],[Parameter]], [1]ReferenceData!B:B, 0))</f>
        <v>#N/A</v>
      </c>
      <c r="H33" s="8" t="e">
        <f t="shared" si="0"/>
        <v>#N/A</v>
      </c>
    </row>
    <row r="34" spans="1:8" x14ac:dyDescent="0.35">
      <c r="A34" s="14"/>
      <c r="B34" s="6"/>
      <c r="C34" s="6"/>
      <c r="D34" s="6" t="str">
        <f>IFERROR(INDEX([1]ReferenceData!H:H, MATCH(TRIM(UPPER(C34)), [1]ReferenceData!B:B, 0)), "")</f>
        <v/>
      </c>
      <c r="E34" s="6"/>
      <c r="F34" s="6" t="e">
        <f>INDEX([1]ReferenceData!E:E, MATCH(Table1[[#This Row],[Parameter]], [1]ReferenceData!B:B, 0))</f>
        <v>#N/A</v>
      </c>
      <c r="G34" s="7" t="e">
        <f>INDEX([1]ReferenceData!D:D, MATCH(Table1[[#This Row],[Parameter]], [1]ReferenceData!B:B, 0))</f>
        <v>#N/A</v>
      </c>
      <c r="H34" s="8" t="e">
        <f t="shared" si="0"/>
        <v>#N/A</v>
      </c>
    </row>
    <row r="35" spans="1:8" x14ac:dyDescent="0.35">
      <c r="A35" s="13"/>
      <c r="B35" s="10"/>
      <c r="C35" s="10"/>
      <c r="D35" s="10" t="str">
        <f>IFERROR(INDEX([1]ReferenceData!H:H, MATCH(TRIM(UPPER(C35)), [1]ReferenceData!B:B, 0)), "")</f>
        <v/>
      </c>
      <c r="E35" s="10"/>
      <c r="F35" s="10" t="e">
        <f>INDEX([1]ReferenceData!E:E, MATCH(Table1[[#This Row],[Parameter]], [1]ReferenceData!B:B, 0))</f>
        <v>#N/A</v>
      </c>
      <c r="G35" s="11" t="e">
        <f>INDEX([1]ReferenceData!D:D, MATCH(Table1[[#This Row],[Parameter]], [1]ReferenceData!B:B, 0))</f>
        <v>#N/A</v>
      </c>
      <c r="H35" s="8" t="e">
        <f t="shared" si="0"/>
        <v>#N/A</v>
      </c>
    </row>
    <row r="36" spans="1:8" x14ac:dyDescent="0.35">
      <c r="A36" s="14"/>
      <c r="B36" s="6"/>
      <c r="C36" s="6"/>
      <c r="D36" s="6" t="str">
        <f>IFERROR(INDEX([1]ReferenceData!H:H, MATCH(TRIM(UPPER(C36)), [1]ReferenceData!B:B, 0)), "")</f>
        <v/>
      </c>
      <c r="E36" s="6"/>
      <c r="F36" s="6" t="e">
        <f>INDEX([1]ReferenceData!E:E, MATCH(Table1[[#This Row],[Parameter]], [1]ReferenceData!B:B, 0))</f>
        <v>#N/A</v>
      </c>
      <c r="G36" s="7" t="e">
        <f>INDEX([1]ReferenceData!D:D, MATCH(Table1[[#This Row],[Parameter]], [1]ReferenceData!B:B, 0))</f>
        <v>#N/A</v>
      </c>
      <c r="H36" s="8" t="e">
        <f t="shared" si="0"/>
        <v>#N/A</v>
      </c>
    </row>
    <row r="37" spans="1:8" x14ac:dyDescent="0.35">
      <c r="A37" s="13"/>
      <c r="B37" s="10"/>
      <c r="C37" s="10"/>
      <c r="D37" s="10" t="str">
        <f>IFERROR(INDEX([1]ReferenceData!H:H, MATCH(TRIM(UPPER(C37)), [1]ReferenceData!B:B, 0)), "")</f>
        <v/>
      </c>
      <c r="E37" s="10"/>
      <c r="F37" s="10" t="e">
        <f>INDEX([1]ReferenceData!E:E, MATCH(Table1[[#This Row],[Parameter]], [1]ReferenceData!B:B, 0))</f>
        <v>#N/A</v>
      </c>
      <c r="G37" s="11" t="e">
        <f>INDEX([1]ReferenceData!D:D, MATCH(Table1[[#This Row],[Parameter]], [1]ReferenceData!B:B, 0))</f>
        <v>#N/A</v>
      </c>
      <c r="H37" s="8" t="e">
        <f t="shared" si="0"/>
        <v>#N/A</v>
      </c>
    </row>
    <row r="38" spans="1:8" x14ac:dyDescent="0.35">
      <c r="A38" s="14"/>
      <c r="B38" s="6"/>
      <c r="C38" s="6"/>
      <c r="D38" s="6" t="str">
        <f>IFERROR(INDEX([1]ReferenceData!H:H, MATCH(TRIM(UPPER(C38)), [1]ReferenceData!B:B, 0)), "")</f>
        <v/>
      </c>
      <c r="E38" s="6"/>
      <c r="F38" s="6" t="e">
        <f>INDEX([1]ReferenceData!E:E, MATCH(Table1[[#This Row],[Parameter]], [1]ReferenceData!B:B, 0))</f>
        <v>#N/A</v>
      </c>
      <c r="G38" s="7" t="e">
        <f>INDEX([1]ReferenceData!D:D, MATCH(Table1[[#This Row],[Parameter]], [1]ReferenceData!B:B, 0))</f>
        <v>#N/A</v>
      </c>
      <c r="H38" s="8" t="e">
        <f t="shared" si="0"/>
        <v>#N/A</v>
      </c>
    </row>
    <row r="39" spans="1:8" x14ac:dyDescent="0.35">
      <c r="A39" s="13"/>
      <c r="B39" s="10"/>
      <c r="C39" s="10"/>
      <c r="D39" s="10" t="str">
        <f>IFERROR(INDEX([1]ReferenceData!H:H, MATCH(TRIM(UPPER(C39)), [1]ReferenceData!B:B, 0)), "")</f>
        <v/>
      </c>
      <c r="E39" s="10"/>
      <c r="F39" s="10" t="e">
        <f>INDEX([1]ReferenceData!E:E, MATCH(Table1[[#This Row],[Parameter]], [1]ReferenceData!B:B, 0))</f>
        <v>#N/A</v>
      </c>
      <c r="G39" s="11" t="e">
        <f>INDEX([1]ReferenceData!D:D, MATCH(Table1[[#This Row],[Parameter]], [1]ReferenceData!B:B, 0))</f>
        <v>#N/A</v>
      </c>
      <c r="H39" s="8" t="e">
        <f t="shared" si="0"/>
        <v>#N/A</v>
      </c>
    </row>
    <row r="40" spans="1:8" x14ac:dyDescent="0.35">
      <c r="A40" s="14"/>
      <c r="B40" s="6"/>
      <c r="C40" s="6"/>
      <c r="D40" s="6" t="str">
        <f>IFERROR(INDEX([1]ReferenceData!H:H, MATCH(TRIM(UPPER(C40)), [1]ReferenceData!B:B, 0)), "")</f>
        <v/>
      </c>
      <c r="E40" s="6"/>
      <c r="F40" s="6" t="e">
        <f>INDEX([1]ReferenceData!E:E, MATCH(Table1[[#This Row],[Parameter]], [1]ReferenceData!B:B, 0))</f>
        <v>#N/A</v>
      </c>
      <c r="G40" s="7" t="e">
        <f>INDEX([1]ReferenceData!D:D, MATCH(Table1[[#This Row],[Parameter]], [1]ReferenceData!B:B, 0))</f>
        <v>#N/A</v>
      </c>
      <c r="H40" s="8" t="e">
        <f t="shared" si="0"/>
        <v>#N/A</v>
      </c>
    </row>
    <row r="41" spans="1:8" x14ac:dyDescent="0.35">
      <c r="A41" s="13"/>
      <c r="B41" s="10"/>
      <c r="C41" s="10"/>
      <c r="D41" s="10" t="str">
        <f>IFERROR(INDEX([1]ReferenceData!H:H, MATCH(TRIM(UPPER(C41)), [1]ReferenceData!B:B, 0)), "")</f>
        <v/>
      </c>
      <c r="E41" s="10"/>
      <c r="F41" s="10" t="e">
        <f>INDEX([1]ReferenceData!E:E, MATCH(Table1[[#This Row],[Parameter]], [1]ReferenceData!B:B, 0))</f>
        <v>#N/A</v>
      </c>
      <c r="G41" s="11" t="e">
        <f>INDEX([1]ReferenceData!D:D, MATCH(Table1[[#This Row],[Parameter]], [1]ReferenceData!B:B, 0))</f>
        <v>#N/A</v>
      </c>
      <c r="H41" s="8" t="e">
        <f t="shared" si="0"/>
        <v>#N/A</v>
      </c>
    </row>
    <row r="42" spans="1:8" x14ac:dyDescent="0.35">
      <c r="A42" s="14"/>
      <c r="B42" s="6"/>
      <c r="C42" s="6"/>
      <c r="D42" s="6" t="str">
        <f>IFERROR(INDEX([1]ReferenceData!H:H, MATCH(TRIM(UPPER(C42)), [1]ReferenceData!B:B, 0)), "")</f>
        <v/>
      </c>
      <c r="E42" s="6"/>
      <c r="F42" s="6" t="e">
        <f>INDEX([1]ReferenceData!E:E, MATCH(Table1[[#This Row],[Parameter]], [1]ReferenceData!B:B, 0))</f>
        <v>#N/A</v>
      </c>
      <c r="G42" s="7" t="e">
        <f>INDEX([1]ReferenceData!D:D, MATCH(Table1[[#This Row],[Parameter]], [1]ReferenceData!B:B, 0))</f>
        <v>#N/A</v>
      </c>
      <c r="H42" s="8" t="e">
        <f t="shared" si="0"/>
        <v>#N/A</v>
      </c>
    </row>
    <row r="43" spans="1:8" x14ac:dyDescent="0.35">
      <c r="A43" s="13"/>
      <c r="B43" s="10"/>
      <c r="C43" s="10"/>
      <c r="D43" s="10" t="str">
        <f>IFERROR(INDEX([1]ReferenceData!H:H, MATCH(TRIM(UPPER(C43)), [1]ReferenceData!B:B, 0)), "")</f>
        <v/>
      </c>
      <c r="E43" s="10"/>
      <c r="F43" s="10" t="e">
        <f>INDEX([1]ReferenceData!E:E, MATCH(Table1[[#This Row],[Parameter]], [1]ReferenceData!B:B, 0))</f>
        <v>#N/A</v>
      </c>
      <c r="G43" s="11" t="e">
        <f>INDEX([1]ReferenceData!D:D, MATCH(Table1[[#This Row],[Parameter]], [1]ReferenceData!B:B, 0))</f>
        <v>#N/A</v>
      </c>
      <c r="H43" s="8" t="e">
        <f t="shared" si="0"/>
        <v>#N/A</v>
      </c>
    </row>
    <row r="44" spans="1:8" x14ac:dyDescent="0.35">
      <c r="A44" s="14"/>
      <c r="B44" s="6"/>
      <c r="C44" s="6"/>
      <c r="D44" s="6" t="str">
        <f>IFERROR(INDEX([1]ReferenceData!H:H, MATCH(TRIM(UPPER(C44)), [1]ReferenceData!B:B, 0)), "")</f>
        <v/>
      </c>
      <c r="E44" s="6"/>
      <c r="F44" s="6" t="e">
        <f>INDEX([1]ReferenceData!E:E, MATCH(Table1[[#This Row],[Parameter]], [1]ReferenceData!B:B, 0))</f>
        <v>#N/A</v>
      </c>
      <c r="G44" s="7" t="e">
        <f>INDEX([1]ReferenceData!D:D, MATCH(Table1[[#This Row],[Parameter]], [1]ReferenceData!B:B, 0))</f>
        <v>#N/A</v>
      </c>
      <c r="H44" s="8" t="e">
        <f t="shared" si="0"/>
        <v>#N/A</v>
      </c>
    </row>
    <row r="45" spans="1:8" x14ac:dyDescent="0.35">
      <c r="A45" s="13"/>
      <c r="B45" s="10"/>
      <c r="C45" s="10"/>
      <c r="D45" s="10" t="str">
        <f>IFERROR(INDEX([1]ReferenceData!H:H, MATCH(TRIM(UPPER(C45)), [1]ReferenceData!B:B, 0)), "")</f>
        <v/>
      </c>
      <c r="E45" s="10"/>
      <c r="F45" s="10" t="e">
        <f>INDEX([1]ReferenceData!E:E, MATCH(Table1[[#This Row],[Parameter]], [1]ReferenceData!B:B, 0))</f>
        <v>#N/A</v>
      </c>
      <c r="G45" s="11" t="e">
        <f>INDEX([1]ReferenceData!D:D, MATCH(Table1[[#This Row],[Parameter]], [1]ReferenceData!B:B, 0))</f>
        <v>#N/A</v>
      </c>
      <c r="H45" s="8" t="e">
        <f t="shared" si="0"/>
        <v>#N/A</v>
      </c>
    </row>
    <row r="46" spans="1:8" x14ac:dyDescent="0.35">
      <c r="A46" s="14"/>
      <c r="B46" s="6"/>
      <c r="C46" s="6"/>
      <c r="D46" s="6" t="str">
        <f>IFERROR(INDEX([1]ReferenceData!H:H, MATCH(TRIM(UPPER(C46)), [1]ReferenceData!B:B, 0)), "")</f>
        <v/>
      </c>
      <c r="E46" s="6"/>
      <c r="F46" s="6" t="e">
        <f>INDEX([1]ReferenceData!E:E, MATCH(Table1[[#This Row],[Parameter]], [1]ReferenceData!B:B, 0))</f>
        <v>#N/A</v>
      </c>
      <c r="G46" s="7" t="e">
        <f>INDEX([1]ReferenceData!D:D, MATCH(Table1[[#This Row],[Parameter]], [1]ReferenceData!B:B, 0))</f>
        <v>#N/A</v>
      </c>
      <c r="H46" s="8" t="e">
        <f t="shared" si="0"/>
        <v>#N/A</v>
      </c>
    </row>
    <row r="47" spans="1:8" x14ac:dyDescent="0.35">
      <c r="A47" s="13"/>
      <c r="B47" s="10"/>
      <c r="C47" s="10"/>
      <c r="D47" s="10" t="str">
        <f>IFERROR(INDEX([1]ReferenceData!H:H, MATCH(TRIM(UPPER(C47)), [1]ReferenceData!B:B, 0)), "")</f>
        <v/>
      </c>
      <c r="E47" s="10"/>
      <c r="F47" s="10" t="e">
        <f>INDEX([1]ReferenceData!E:E, MATCH(Table1[[#This Row],[Parameter]], [1]ReferenceData!B:B, 0))</f>
        <v>#N/A</v>
      </c>
      <c r="G47" s="11" t="e">
        <f>INDEX([1]ReferenceData!D:D, MATCH(Table1[[#This Row],[Parameter]], [1]ReferenceData!B:B, 0))</f>
        <v>#N/A</v>
      </c>
      <c r="H47" s="8" t="e">
        <f t="shared" si="0"/>
        <v>#N/A</v>
      </c>
    </row>
    <row r="48" spans="1:8" x14ac:dyDescent="0.35">
      <c r="A48" s="14"/>
      <c r="B48" s="6"/>
      <c r="C48" s="6"/>
      <c r="D48" s="6" t="str">
        <f>IFERROR(INDEX([1]ReferenceData!H:H, MATCH(TRIM(UPPER(C48)), [1]ReferenceData!B:B, 0)), "")</f>
        <v/>
      </c>
      <c r="E48" s="6"/>
      <c r="F48" s="6" t="e">
        <f>INDEX([1]ReferenceData!E:E, MATCH(Table1[[#This Row],[Parameter]], [1]ReferenceData!B:B, 0))</f>
        <v>#N/A</v>
      </c>
      <c r="G48" s="7" t="e">
        <f>INDEX([1]ReferenceData!D:D, MATCH(Table1[[#This Row],[Parameter]], [1]ReferenceData!B:B, 0))</f>
        <v>#N/A</v>
      </c>
      <c r="H48" s="8" t="e">
        <f t="shared" si="0"/>
        <v>#N/A</v>
      </c>
    </row>
    <row r="49" spans="1:8" x14ac:dyDescent="0.35">
      <c r="A49" s="13"/>
      <c r="B49" s="10"/>
      <c r="C49" s="10"/>
      <c r="D49" s="10" t="str">
        <f>IFERROR(INDEX([1]ReferenceData!H:H, MATCH(TRIM(UPPER(C49)), [1]ReferenceData!B:B, 0)), "")</f>
        <v/>
      </c>
      <c r="E49" s="10"/>
      <c r="F49" s="10" t="e">
        <f>INDEX([1]ReferenceData!E:E, MATCH(Table1[[#This Row],[Parameter]], [1]ReferenceData!B:B, 0))</f>
        <v>#N/A</v>
      </c>
      <c r="G49" s="11" t="e">
        <f>INDEX([1]ReferenceData!D:D, MATCH(Table1[[#This Row],[Parameter]], [1]ReferenceData!B:B, 0))</f>
        <v>#N/A</v>
      </c>
      <c r="H49" s="8" t="e">
        <f t="shared" si="0"/>
        <v>#N/A</v>
      </c>
    </row>
    <row r="50" spans="1:8" x14ac:dyDescent="0.35">
      <c r="A50" s="17"/>
      <c r="B50" s="18"/>
      <c r="C50" s="18"/>
      <c r="D50" s="18" t="str">
        <f>IFERROR(INDEX([1]ReferenceData!H:H, MATCH(TRIM(UPPER(C50)), [1]ReferenceData!B:B, 0)), "")</f>
        <v/>
      </c>
      <c r="E50" s="18"/>
      <c r="F50" s="18" t="e">
        <f>INDEX([1]ReferenceData!E:E, MATCH(Table1[[#This Row],[Parameter]], [1]ReferenceData!B:B, 0))</f>
        <v>#N/A</v>
      </c>
      <c r="G50" s="19" t="e">
        <f>INDEX([1]ReferenceData!D:D, MATCH(Table1[[#This Row],[Parameter]], [1]ReferenceData!B:B, 0))</f>
        <v>#N/A</v>
      </c>
      <c r="H50" s="20" t="e">
        <f t="shared" si="0"/>
        <v>#N/A</v>
      </c>
    </row>
    <row r="51" spans="1:8" x14ac:dyDescent="0.35">
      <c r="G51" s="21"/>
    </row>
    <row r="52" spans="1:8" x14ac:dyDescent="0.35">
      <c r="G52" s="21"/>
    </row>
    <row r="53" spans="1:8" x14ac:dyDescent="0.35">
      <c r="G53" s="21"/>
    </row>
    <row r="54" spans="1:8" x14ac:dyDescent="0.35">
      <c r="G54" s="21"/>
    </row>
    <row r="55" spans="1:8" x14ac:dyDescent="0.35">
      <c r="G55" s="21"/>
    </row>
    <row r="56" spans="1:8" x14ac:dyDescent="0.35">
      <c r="G56" s="21"/>
    </row>
    <row r="57" spans="1:8" x14ac:dyDescent="0.35">
      <c r="G57" s="21"/>
    </row>
    <row r="58" spans="1:8" x14ac:dyDescent="0.35">
      <c r="G58" s="21"/>
    </row>
    <row r="59" spans="1:8" x14ac:dyDescent="0.35">
      <c r="G59" s="21"/>
    </row>
    <row r="60" spans="1:8" x14ac:dyDescent="0.35">
      <c r="G60" s="21"/>
    </row>
    <row r="61" spans="1:8" x14ac:dyDescent="0.35">
      <c r="G61" s="21"/>
    </row>
    <row r="62" spans="1:8" x14ac:dyDescent="0.35">
      <c r="G62" s="21"/>
    </row>
    <row r="63" spans="1:8" x14ac:dyDescent="0.35">
      <c r="G63" s="21"/>
    </row>
    <row r="64" spans="1:8" x14ac:dyDescent="0.35">
      <c r="G64" s="21"/>
    </row>
    <row r="65" spans="7:7" x14ac:dyDescent="0.35">
      <c r="G65" s="21"/>
    </row>
    <row r="66" spans="7:7" x14ac:dyDescent="0.35">
      <c r="G66" s="21"/>
    </row>
    <row r="67" spans="7:7" x14ac:dyDescent="0.35">
      <c r="G67" s="21"/>
    </row>
    <row r="68" spans="7:7" x14ac:dyDescent="0.35">
      <c r="G68" s="21"/>
    </row>
    <row r="69" spans="7:7" x14ac:dyDescent="0.35">
      <c r="G69" s="21"/>
    </row>
    <row r="70" spans="7:7" x14ac:dyDescent="0.35">
      <c r="G70" s="21"/>
    </row>
    <row r="71" spans="7:7" x14ac:dyDescent="0.35">
      <c r="G71" s="21"/>
    </row>
    <row r="72" spans="7:7" x14ac:dyDescent="0.35">
      <c r="G72" s="21"/>
    </row>
    <row r="73" spans="7:7" x14ac:dyDescent="0.35">
      <c r="G73" s="21"/>
    </row>
    <row r="74" spans="7:7" x14ac:dyDescent="0.35">
      <c r="G74" s="21"/>
    </row>
    <row r="75" spans="7:7" x14ac:dyDescent="0.35">
      <c r="G75" s="21"/>
    </row>
    <row r="76" spans="7:7" x14ac:dyDescent="0.35">
      <c r="G76" s="21"/>
    </row>
    <row r="77" spans="7:7" x14ac:dyDescent="0.35">
      <c r="G77" s="21"/>
    </row>
    <row r="78" spans="7:7" x14ac:dyDescent="0.35">
      <c r="G78" s="21"/>
    </row>
    <row r="79" spans="7:7" x14ac:dyDescent="0.35">
      <c r="G79" s="21"/>
    </row>
    <row r="80" spans="7:7" x14ac:dyDescent="0.35">
      <c r="G80" s="21"/>
    </row>
    <row r="81" spans="7:7" x14ac:dyDescent="0.35">
      <c r="G81" s="21"/>
    </row>
    <row r="82" spans="7:7" x14ac:dyDescent="0.35">
      <c r="G82" s="21"/>
    </row>
    <row r="83" spans="7:7" x14ac:dyDescent="0.35">
      <c r="G83" s="21"/>
    </row>
    <row r="84" spans="7:7" x14ac:dyDescent="0.35">
      <c r="G84" s="21"/>
    </row>
    <row r="85" spans="7:7" x14ac:dyDescent="0.35">
      <c r="G85" s="21"/>
    </row>
    <row r="86" spans="7:7" x14ac:dyDescent="0.35">
      <c r="G86" s="21"/>
    </row>
    <row r="87" spans="7:7" x14ac:dyDescent="0.35">
      <c r="G87" s="21"/>
    </row>
    <row r="88" spans="7:7" x14ac:dyDescent="0.35">
      <c r="G88" s="21"/>
    </row>
    <row r="89" spans="7:7" x14ac:dyDescent="0.35">
      <c r="G89" s="21"/>
    </row>
    <row r="90" spans="7:7" x14ac:dyDescent="0.35">
      <c r="G90" s="21"/>
    </row>
    <row r="91" spans="7:7" x14ac:dyDescent="0.35">
      <c r="G91" s="21"/>
    </row>
    <row r="92" spans="7:7" x14ac:dyDescent="0.35">
      <c r="G92" s="21"/>
    </row>
    <row r="93" spans="7:7" x14ac:dyDescent="0.35">
      <c r="G93" s="21"/>
    </row>
    <row r="94" spans="7:7" x14ac:dyDescent="0.35">
      <c r="G94" s="21"/>
    </row>
    <row r="95" spans="7:7" x14ac:dyDescent="0.35">
      <c r="G95" s="21"/>
    </row>
    <row r="96" spans="7:7" x14ac:dyDescent="0.35">
      <c r="G96" s="21"/>
    </row>
    <row r="97" spans="7:7" x14ac:dyDescent="0.35">
      <c r="G97" s="21"/>
    </row>
    <row r="98" spans="7:7" x14ac:dyDescent="0.35">
      <c r="G98" s="21"/>
    </row>
    <row r="99" spans="7:7" x14ac:dyDescent="0.35">
      <c r="G99" s="21"/>
    </row>
  </sheetData>
  <conditionalFormatting sqref="H2:H50">
    <cfRule type="cellIs" dxfId="13" priority="1" operator="equal">
      <formula>"Fault"</formula>
    </cfRule>
  </conditionalFormatting>
  <dataValidations count="2">
    <dataValidation type="list" allowBlank="1" showInputMessage="1" showErrorMessage="1" sqref="C2:C50" xr:uid="{EC266EEE-1FFC-47A5-BE61-2A7D300B41D4}">
      <formula1>Masterlist1</formula1>
    </dataValidation>
    <dataValidation type="list" allowBlank="1" showInputMessage="1" showErrorMessage="1" sqref="B2:B50" xr:uid="{AA7E4123-CEB5-41A8-A329-F06F484776B1}">
      <formula1>"IAE V2500,CFM56-5B"</formula1>
    </dataValidation>
  </dataValidations>
  <pageMargins left="0.7" right="0.7" top="0.75" bottom="0.75" header="0.3" footer="0.3"/>
  <ignoredErrors>
    <ignoredError sqref="F2:H50" evalError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ExportDataOnlyToPDF_Prompt">
                <anchor moveWithCells="1" sizeWithCells="1">
                  <from>
                    <xdr:col>9</xdr:col>
                    <xdr:colOff>590550</xdr:colOff>
                    <xdr:row>7</xdr:row>
                    <xdr:rowOff>127000</xdr:rowOff>
                  </from>
                  <to>
                    <xdr:col>10</xdr:col>
                    <xdr:colOff>1060450</xdr:colOff>
                    <xdr:row>10</xdr:row>
                    <xdr:rowOff>63500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Modukuru_Nikhilesh</dc:creator>
  <cp:lastModifiedBy>Neelima Modukuru</cp:lastModifiedBy>
  <dcterms:created xsi:type="dcterms:W3CDTF">2015-06-05T18:17:20Z</dcterms:created>
  <dcterms:modified xsi:type="dcterms:W3CDTF">2026-03-27T14:30:53Z</dcterms:modified>
</cp:coreProperties>
</file>