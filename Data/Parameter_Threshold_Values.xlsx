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Home\Nikhilesh\Avionics and Aviation\EAMHP\EAMHP V1.1.0\"/>
    </mc:Choice>
  </mc:AlternateContent>
  <xr:revisionPtr revIDLastSave="0" documentId="13_ncr:1_{0675CEA0-AB2D-4F4C-AF52-67A8A72C7648}"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3" i="1" l="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alcChain>
</file>

<file path=xl/sharedStrings.xml><?xml version="1.0" encoding="utf-8"?>
<sst xmlns="http://schemas.openxmlformats.org/spreadsheetml/2006/main" count="161" uniqueCount="80">
  <si>
    <t>Parameter ID</t>
  </si>
  <si>
    <t>Parameter Name</t>
  </si>
  <si>
    <t>Engine Variant</t>
  </si>
  <si>
    <t>Lower Tolerant Values</t>
  </si>
  <si>
    <t>Upper Tolerant Values</t>
  </si>
  <si>
    <t>Value</t>
  </si>
  <si>
    <t>Description</t>
  </si>
  <si>
    <t>Unit</t>
  </si>
  <si>
    <t>EPP1</t>
  </si>
  <si>
    <t>N1 Idle</t>
  </si>
  <si>
    <t xml:space="preserve">CFM56-5B </t>
  </si>
  <si>
    <t>19.5- 23</t>
  </si>
  <si>
    <t>-</t>
  </si>
  <si>
    <t>%</t>
  </si>
  <si>
    <t>EPP2</t>
  </si>
  <si>
    <t>IAE V2500-A5</t>
  </si>
  <si>
    <t>Approx</t>
  </si>
  <si>
    <t>EPP3</t>
  </si>
  <si>
    <t>N1 Max</t>
  </si>
  <si>
    <t>(TO/GA)</t>
  </si>
  <si>
    <t>EPP4</t>
  </si>
  <si>
    <t>EPP5</t>
  </si>
  <si>
    <t>N2 Idle</t>
  </si>
  <si>
    <t>58-62</t>
  </si>
  <si>
    <t>EPP6</t>
  </si>
  <si>
    <t>EPP7</t>
  </si>
  <si>
    <t>N2 Max</t>
  </si>
  <si>
    <t>EPP8</t>
  </si>
  <si>
    <t>EPP9</t>
  </si>
  <si>
    <t>EGT Idle</t>
  </si>
  <si>
    <t>390-435</t>
  </si>
  <si>
    <t>°C</t>
  </si>
  <si>
    <t>EPP10</t>
  </si>
  <si>
    <t>400-450</t>
  </si>
  <si>
    <t>EPP11</t>
  </si>
  <si>
    <t>EGT Max (TO/GA)</t>
  </si>
  <si>
    <t>5(min)</t>
  </si>
  <si>
    <t>EPP12</t>
  </si>
  <si>
    <t>EPP13</t>
  </si>
  <si>
    <t>EGT Max Continuous</t>
  </si>
  <si>
    <t>EPP14</t>
  </si>
  <si>
    <t>EPP15</t>
  </si>
  <si>
    <t>Oil Pressure Min</t>
  </si>
  <si>
    <t>psi</t>
  </si>
  <si>
    <t>EPP16</t>
  </si>
  <si>
    <t>EPP17</t>
  </si>
  <si>
    <t>Oil Pressure Max</t>
  </si>
  <si>
    <t>EPP18</t>
  </si>
  <si>
    <t>EPP19</t>
  </si>
  <si>
    <t>Oil Temp Max Continuous</t>
  </si>
  <si>
    <t>EPP20</t>
  </si>
  <si>
    <t>EPP21</t>
  </si>
  <si>
    <t>Oil Temp Max Transient</t>
  </si>
  <si>
    <t>(For 15min)</t>
  </si>
  <si>
    <t>EPP22</t>
  </si>
  <si>
    <t>EPP23</t>
  </si>
  <si>
    <t>Oil Temp Start Min</t>
  </si>
  <si>
    <t>EPP24</t>
  </si>
  <si>
    <t>EPP25</t>
  </si>
  <si>
    <t>Oil Quantity Min</t>
  </si>
  <si>
    <t>9.5 - 13</t>
  </si>
  <si>
    <t>qt</t>
  </si>
  <si>
    <t>EPP26</t>
  </si>
  <si>
    <t>EPP27</t>
  </si>
  <si>
    <t>Fuel Flow Cruise</t>
  </si>
  <si>
    <t>2500-3000</t>
  </si>
  <si>
    <t>Approx per engine</t>
  </si>
  <si>
    <t>kg/hr</t>
  </si>
  <si>
    <t>EPP28</t>
  </si>
  <si>
    <t>2500-2900</t>
  </si>
  <si>
    <t>EPP29</t>
  </si>
  <si>
    <t>Max Thrust</t>
  </si>
  <si>
    <t>lbf</t>
  </si>
  <si>
    <t>EPP30</t>
  </si>
  <si>
    <t>30000-33000</t>
  </si>
  <si>
    <t>EPP31</t>
  </si>
  <si>
    <t>Starter Limit</t>
  </si>
  <si>
    <t>Max cycles 2min each</t>
  </si>
  <si>
    <t>cycles</t>
  </si>
  <si>
    <t>EPP32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</si>
</sst>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11">
    <fill>
      <patternFill patternType="none"/>
    </fill>
    <fill>
      <patternFill patternType="gray125"/>
    </fill>
    <fill>
      <patternFill patternType="solid">
        <fgColor theme="9"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CCE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1" xfId="0" applyFill="1"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49" fontId="0" fillId="3" borderId="1" xfId="0" applyNumberFormat="1" applyFill="1" applyBorder="1" applyAlignment="1">
      <alignment horizontal="center"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tabSelected="1" zoomScale="70" zoomScaleNormal="70" workbookViewId="0">
      <selection activeCell="D15" sqref="D15"/>
    </sheetView>
  </sheetViews>
  <sheetFormatPr defaultColWidth="41.90625" defaultRowHeight="14.5" x14ac:dyDescent="0.35"/>
  <cols>
    <col min="1" max="16384" width="41.90625" style="2"/>
  </cols>
  <sheetData>
    <row r="1" spans="1:8" x14ac:dyDescent="0.35">
      <c r="A1" s="1" t="s">
        <v>0</v>
      </c>
      <c r="B1" s="1" t="s">
        <v>1</v>
      </c>
      <c r="C1" s="1" t="s">
        <v>2</v>
      </c>
      <c r="D1" s="1" t="s">
        <v>3</v>
      </c>
      <c r="E1" s="1" t="s">
        <v>4</v>
      </c>
      <c r="F1" s="1" t="s">
        <v>5</v>
      </c>
      <c r="G1" s="1" t="s">
        <v>6</v>
      </c>
      <c r="H1" s="1" t="s">
        <v>7</v>
      </c>
    </row>
    <row r="2" spans="1:8" x14ac:dyDescent="0.35">
      <c r="A2" s="3" t="s">
        <v>8</v>
      </c>
      <c r="B2" s="4" t="s">
        <v>9</v>
      </c>
      <c r="C2" s="5" t="s">
        <v>10</v>
      </c>
      <c r="D2" s="6">
        <f>ROUND(VALUE(LEFT(F2,FIND("-",F2)-2))*0.95, 1)</f>
        <v>18.100000000000001</v>
      </c>
      <c r="E2" s="7">
        <f>ROUND(VALUE(TRIM(RIGHT(F2,LEN(F2)-FIND("-",F2)-1)))*1.05, 1)</f>
        <v>24.2</v>
      </c>
      <c r="F2" s="8" t="s">
        <v>11</v>
      </c>
      <c r="G2" s="9" t="s">
        <v>12</v>
      </c>
      <c r="H2" s="10" t="s">
        <v>13</v>
      </c>
    </row>
    <row r="3" spans="1:8" x14ac:dyDescent="0.35">
      <c r="A3" s="3" t="s">
        <v>14</v>
      </c>
      <c r="B3" s="4" t="s">
        <v>9</v>
      </c>
      <c r="C3" s="5" t="s">
        <v>15</v>
      </c>
      <c r="D3" s="6">
        <f>ROUND(VALUE(SUBSTITUTE(F3,"~",""))*0.95, 1)</f>
        <v>19</v>
      </c>
      <c r="E3" s="7">
        <f>ROUND(VALUE(SUBSTITUTE(F3,"~",""))*1.05, 1)</f>
        <v>21</v>
      </c>
      <c r="F3" s="8">
        <v>20</v>
      </c>
      <c r="G3" s="9" t="s">
        <v>16</v>
      </c>
      <c r="H3" s="10" t="s">
        <v>13</v>
      </c>
    </row>
    <row r="4" spans="1:8" x14ac:dyDescent="0.35">
      <c r="A4" s="3" t="s">
        <v>17</v>
      </c>
      <c r="B4" s="4" t="s">
        <v>18</v>
      </c>
      <c r="C4" s="5" t="s">
        <v>10</v>
      </c>
      <c r="D4" s="6">
        <f>ROUND(VALUE(SUBSTITUTE(F4,"~",""))*0.95, 1)</f>
        <v>98.8</v>
      </c>
      <c r="E4" s="7">
        <f>ROUND(VALUE(SUBSTITUTE(F4,"~",""))*1.05, 1)</f>
        <v>109.2</v>
      </c>
      <c r="F4" s="8">
        <v>104</v>
      </c>
      <c r="G4" s="9" t="s">
        <v>19</v>
      </c>
      <c r="H4" s="10" t="s">
        <v>13</v>
      </c>
    </row>
    <row r="5" spans="1:8" x14ac:dyDescent="0.35">
      <c r="A5" s="3" t="s">
        <v>20</v>
      </c>
      <c r="B5" s="4" t="s">
        <v>18</v>
      </c>
      <c r="C5" s="5" t="s">
        <v>15</v>
      </c>
      <c r="D5" s="6">
        <f>ROUND(VALUE(SUBSTITUTE(F5,"~",""))*0.95, 1)</f>
        <v>98.8</v>
      </c>
      <c r="E5" s="7">
        <f>ROUND(VALUE(SUBSTITUTE(F4,"~",""))*1.05, 1)</f>
        <v>109.2</v>
      </c>
      <c r="F5" s="8">
        <v>104</v>
      </c>
      <c r="G5" s="9" t="s">
        <v>19</v>
      </c>
      <c r="H5" s="10" t="s">
        <v>13</v>
      </c>
    </row>
    <row r="6" spans="1:8" x14ac:dyDescent="0.35">
      <c r="A6" s="3" t="s">
        <v>21</v>
      </c>
      <c r="B6" s="4" t="s">
        <v>22</v>
      </c>
      <c r="C6" s="5" t="s">
        <v>10</v>
      </c>
      <c r="D6" s="6">
        <f>ROUND(VALUE(LEFT(F6,FIND("-",F6)-1))*0.95,1)</f>
        <v>55.1</v>
      </c>
      <c r="E6" s="7">
        <f>ROUND(VALUE(TRIM(MID(F6, FIND("-", F6) + 1, LEN(F6)))) * 1.05, 1)</f>
        <v>65.099999999999994</v>
      </c>
      <c r="F6" s="8" t="s">
        <v>23</v>
      </c>
      <c r="G6" s="9"/>
      <c r="H6" s="10" t="s">
        <v>13</v>
      </c>
    </row>
    <row r="7" spans="1:8" x14ac:dyDescent="0.35">
      <c r="A7" s="3" t="s">
        <v>24</v>
      </c>
      <c r="B7" s="4" t="s">
        <v>22</v>
      </c>
      <c r="C7" s="5" t="s">
        <v>15</v>
      </c>
      <c r="D7" s="6">
        <f>ROUND(VALUE(SUBSTITUTE(F7,"~",""))*0.95, 1)</f>
        <v>57</v>
      </c>
      <c r="E7" s="7">
        <f>ROUND(VALUE(SUBSTITUTE(F7,"~",""))*1.05, 1)</f>
        <v>63</v>
      </c>
      <c r="F7" s="8">
        <v>60</v>
      </c>
      <c r="G7" s="9" t="s">
        <v>16</v>
      </c>
      <c r="H7" s="10" t="s">
        <v>13</v>
      </c>
    </row>
    <row r="8" spans="1:8" x14ac:dyDescent="0.35">
      <c r="A8" s="3" t="s">
        <v>25</v>
      </c>
      <c r="B8" s="4" t="s">
        <v>26</v>
      </c>
      <c r="C8" s="5" t="s">
        <v>10</v>
      </c>
      <c r="D8" s="6">
        <f>ROUND(VALUE(SUBSTITUTE(F8,"~",""))*0.95, 1)</f>
        <v>99.8</v>
      </c>
      <c r="E8" s="7">
        <f>ROUND(VALUE(SUBSTITUTE(F8,"~",""))*1.05, 1)</f>
        <v>110.3</v>
      </c>
      <c r="F8" s="8">
        <v>105</v>
      </c>
      <c r="G8" s="9"/>
      <c r="H8" s="10" t="s">
        <v>13</v>
      </c>
    </row>
    <row r="9" spans="1:8" x14ac:dyDescent="0.35">
      <c r="A9" s="3" t="s">
        <v>27</v>
      </c>
      <c r="B9" s="4" t="s">
        <v>26</v>
      </c>
      <c r="C9" s="5" t="s">
        <v>15</v>
      </c>
      <c r="D9" s="6">
        <f>ROUND(VALUE(SUBSTITUTE(F9,"~",""))*0.95, 1)</f>
        <v>99.8</v>
      </c>
      <c r="E9" s="7">
        <f>ROUND(VALUE(SUBSTITUTE(F8,"~",""))*1.05, 1)</f>
        <v>110.3</v>
      </c>
      <c r="F9" s="8">
        <v>105</v>
      </c>
      <c r="G9" s="9" t="s">
        <v>16</v>
      </c>
      <c r="H9" s="10" t="s">
        <v>13</v>
      </c>
    </row>
    <row r="10" spans="1:8" x14ac:dyDescent="0.35">
      <c r="A10" s="3" t="s">
        <v>28</v>
      </c>
      <c r="B10" s="4" t="s">
        <v>29</v>
      </c>
      <c r="C10" s="5" t="s">
        <v>10</v>
      </c>
      <c r="D10" s="6">
        <f>ROUND(VALUE(LEFT(F10,FIND("-",F10)-1))*0.95, 1)</f>
        <v>370.5</v>
      </c>
      <c r="E10" s="7">
        <f>ROUND(VALUE(TRIM(MID(F10, FIND("-", F10) + 1, LEN(F10)))) * 1.05, 1)</f>
        <v>456.8</v>
      </c>
      <c r="F10" s="8" t="s">
        <v>30</v>
      </c>
      <c r="G10" s="9"/>
      <c r="H10" s="10" t="s">
        <v>31</v>
      </c>
    </row>
    <row r="11" spans="1:8" x14ac:dyDescent="0.35">
      <c r="A11" s="3" t="s">
        <v>32</v>
      </c>
      <c r="B11" s="4" t="s">
        <v>29</v>
      </c>
      <c r="C11" s="5" t="s">
        <v>15</v>
      </c>
      <c r="D11" s="6">
        <f>ROUND(VALUE(LEFT(F11,FIND("-",F11)-1))*0.95, 1)</f>
        <v>380</v>
      </c>
      <c r="E11" s="7">
        <f>ROUND(VALUE(TRIM(MID(F11, FIND("-", F11) + 1, LEN(F11)))) * 1.05, 1)</f>
        <v>472.5</v>
      </c>
      <c r="F11" s="8" t="s">
        <v>33</v>
      </c>
      <c r="G11" s="9"/>
      <c r="H11" s="10" t="s">
        <v>31</v>
      </c>
    </row>
    <row r="12" spans="1:8" x14ac:dyDescent="0.35">
      <c r="A12" s="3" t="s">
        <v>34</v>
      </c>
      <c r="B12" s="4" t="s">
        <v>35</v>
      </c>
      <c r="C12" s="5" t="s">
        <v>10</v>
      </c>
      <c r="D12" s="6">
        <f t="shared" ref="D12:D25" si="0">ROUND(VALUE(SUBSTITUTE(F12,"~",""))*0.95, 1)</f>
        <v>603.29999999999995</v>
      </c>
      <c r="E12" s="7">
        <f t="shared" ref="E12:E24" si="1">ROUND(VALUE(SUBSTITUTE(F12,"~",""))*1.05, 1)</f>
        <v>666.8</v>
      </c>
      <c r="F12" s="8">
        <v>635</v>
      </c>
      <c r="G12" s="9" t="s">
        <v>36</v>
      </c>
      <c r="H12" s="10" t="s">
        <v>31</v>
      </c>
    </row>
    <row r="13" spans="1:8" x14ac:dyDescent="0.35">
      <c r="A13" s="3" t="s">
        <v>37</v>
      </c>
      <c r="B13" s="4" t="s">
        <v>35</v>
      </c>
      <c r="C13" s="5" t="s">
        <v>15</v>
      </c>
      <c r="D13" s="6">
        <f t="shared" si="0"/>
        <v>617.5</v>
      </c>
      <c r="E13" s="7">
        <f t="shared" si="1"/>
        <v>682.5</v>
      </c>
      <c r="F13" s="8">
        <v>650</v>
      </c>
      <c r="G13" s="9" t="s">
        <v>36</v>
      </c>
      <c r="H13" s="10" t="s">
        <v>31</v>
      </c>
    </row>
    <row r="14" spans="1:8" x14ac:dyDescent="0.35">
      <c r="A14" s="3" t="s">
        <v>38</v>
      </c>
      <c r="B14" s="4" t="s">
        <v>39</v>
      </c>
      <c r="C14" s="5" t="s">
        <v>10</v>
      </c>
      <c r="D14" s="6">
        <f t="shared" si="0"/>
        <v>579.5</v>
      </c>
      <c r="E14" s="7">
        <f t="shared" si="1"/>
        <v>640.5</v>
      </c>
      <c r="F14" s="8">
        <v>610</v>
      </c>
      <c r="G14" s="9"/>
      <c r="H14" s="10" t="s">
        <v>31</v>
      </c>
    </row>
    <row r="15" spans="1:8" x14ac:dyDescent="0.35">
      <c r="A15" s="3" t="s">
        <v>40</v>
      </c>
      <c r="B15" s="4" t="s">
        <v>39</v>
      </c>
      <c r="C15" s="5" t="s">
        <v>15</v>
      </c>
      <c r="D15" s="6">
        <f t="shared" si="0"/>
        <v>579.5</v>
      </c>
      <c r="E15" s="7">
        <f t="shared" si="1"/>
        <v>640.5</v>
      </c>
      <c r="F15" s="8">
        <v>610</v>
      </c>
      <c r="G15" s="9"/>
      <c r="H15" s="10" t="s">
        <v>31</v>
      </c>
    </row>
    <row r="16" spans="1:8" x14ac:dyDescent="0.35">
      <c r="A16" s="3" t="s">
        <v>41</v>
      </c>
      <c r="B16" s="4" t="s">
        <v>42</v>
      </c>
      <c r="C16" s="5" t="s">
        <v>10</v>
      </c>
      <c r="D16" s="6">
        <f t="shared" si="0"/>
        <v>12.4</v>
      </c>
      <c r="E16" s="7">
        <f t="shared" si="1"/>
        <v>13.7</v>
      </c>
      <c r="F16" s="8">
        <v>13</v>
      </c>
      <c r="G16" s="9"/>
      <c r="H16" s="10" t="s">
        <v>43</v>
      </c>
    </row>
    <row r="17" spans="1:8" x14ac:dyDescent="0.35">
      <c r="A17" s="11" t="s">
        <v>44</v>
      </c>
      <c r="B17" s="4" t="s">
        <v>42</v>
      </c>
      <c r="C17" s="5" t="s">
        <v>15</v>
      </c>
      <c r="D17" s="6">
        <f t="shared" si="0"/>
        <v>12.4</v>
      </c>
      <c r="E17" s="7">
        <f t="shared" si="1"/>
        <v>13.7</v>
      </c>
      <c r="F17" s="8">
        <v>13</v>
      </c>
      <c r="G17" s="9"/>
      <c r="H17" s="10" t="s">
        <v>43</v>
      </c>
    </row>
    <row r="18" spans="1:8" x14ac:dyDescent="0.35">
      <c r="A18" s="11" t="s">
        <v>45</v>
      </c>
      <c r="B18" s="4" t="s">
        <v>46</v>
      </c>
      <c r="C18" s="5" t="s">
        <v>10</v>
      </c>
      <c r="D18" s="6">
        <f t="shared" si="0"/>
        <v>137.80000000000001</v>
      </c>
      <c r="E18" s="7">
        <f t="shared" si="1"/>
        <v>152.30000000000001</v>
      </c>
      <c r="F18" s="8">
        <v>145</v>
      </c>
      <c r="G18" s="9" t="s">
        <v>16</v>
      </c>
      <c r="H18" s="10" t="s">
        <v>43</v>
      </c>
    </row>
    <row r="19" spans="1:8" x14ac:dyDescent="0.35">
      <c r="A19" s="11" t="s">
        <v>47</v>
      </c>
      <c r="B19" s="4" t="s">
        <v>46</v>
      </c>
      <c r="C19" s="5" t="s">
        <v>15</v>
      </c>
      <c r="D19" s="6">
        <f t="shared" si="0"/>
        <v>137.80000000000001</v>
      </c>
      <c r="E19" s="7">
        <f t="shared" si="1"/>
        <v>152.30000000000001</v>
      </c>
      <c r="F19" s="8">
        <v>145</v>
      </c>
      <c r="G19" s="9" t="s">
        <v>16</v>
      </c>
      <c r="H19" s="10" t="s">
        <v>43</v>
      </c>
    </row>
    <row r="20" spans="1:8" x14ac:dyDescent="0.35">
      <c r="A20" s="11" t="s">
        <v>48</v>
      </c>
      <c r="B20" s="4" t="s">
        <v>49</v>
      </c>
      <c r="C20" s="5" t="s">
        <v>10</v>
      </c>
      <c r="D20" s="6">
        <f t="shared" si="0"/>
        <v>133</v>
      </c>
      <c r="E20" s="7">
        <f t="shared" si="1"/>
        <v>147</v>
      </c>
      <c r="F20" s="8">
        <v>140</v>
      </c>
      <c r="G20" s="9"/>
      <c r="H20" s="10" t="s">
        <v>31</v>
      </c>
    </row>
    <row r="21" spans="1:8" x14ac:dyDescent="0.35">
      <c r="A21" s="11" t="s">
        <v>50</v>
      </c>
      <c r="B21" s="4" t="s">
        <v>49</v>
      </c>
      <c r="C21" s="5" t="s">
        <v>15</v>
      </c>
      <c r="D21" s="6">
        <f t="shared" si="0"/>
        <v>133</v>
      </c>
      <c r="E21" s="7">
        <f t="shared" si="1"/>
        <v>147</v>
      </c>
      <c r="F21" s="8">
        <v>140</v>
      </c>
      <c r="G21" s="9"/>
      <c r="H21" s="10" t="s">
        <v>31</v>
      </c>
    </row>
    <row r="22" spans="1:8" x14ac:dyDescent="0.35">
      <c r="A22" s="11" t="s">
        <v>51</v>
      </c>
      <c r="B22" s="4" t="s">
        <v>52</v>
      </c>
      <c r="C22" s="5" t="s">
        <v>10</v>
      </c>
      <c r="D22" s="6">
        <f t="shared" si="0"/>
        <v>147.30000000000001</v>
      </c>
      <c r="E22" s="7">
        <f t="shared" si="1"/>
        <v>162.80000000000001</v>
      </c>
      <c r="F22" s="8">
        <v>155</v>
      </c>
      <c r="G22" s="9" t="s">
        <v>53</v>
      </c>
      <c r="H22" s="10" t="s">
        <v>31</v>
      </c>
    </row>
    <row r="23" spans="1:8" x14ac:dyDescent="0.35">
      <c r="A23" s="11" t="s">
        <v>54</v>
      </c>
      <c r="B23" s="4" t="s">
        <v>52</v>
      </c>
      <c r="C23" s="5" t="s">
        <v>15</v>
      </c>
      <c r="D23" s="6">
        <f t="shared" si="0"/>
        <v>147.30000000000001</v>
      </c>
      <c r="E23" s="7">
        <f t="shared" si="1"/>
        <v>162.80000000000001</v>
      </c>
      <c r="F23" s="8">
        <v>155</v>
      </c>
      <c r="G23" s="9" t="s">
        <v>53</v>
      </c>
      <c r="H23" s="10" t="s">
        <v>31</v>
      </c>
    </row>
    <row r="24" spans="1:8" x14ac:dyDescent="0.35">
      <c r="A24" s="11" t="s">
        <v>55</v>
      </c>
      <c r="B24" s="4" t="s">
        <v>56</v>
      </c>
      <c r="C24" s="5" t="s">
        <v>10</v>
      </c>
      <c r="D24" s="6">
        <f t="shared" si="0"/>
        <v>-38</v>
      </c>
      <c r="E24" s="7">
        <f t="shared" si="1"/>
        <v>-42</v>
      </c>
      <c r="F24" s="8">
        <v>-40</v>
      </c>
      <c r="G24" s="9"/>
      <c r="H24" s="10" t="s">
        <v>31</v>
      </c>
    </row>
    <row r="25" spans="1:8" x14ac:dyDescent="0.35">
      <c r="A25" s="11" t="s">
        <v>57</v>
      </c>
      <c r="B25" s="4" t="s">
        <v>56</v>
      </c>
      <c r="C25" s="5" t="s">
        <v>15</v>
      </c>
      <c r="D25" s="6">
        <f t="shared" si="0"/>
        <v>-38</v>
      </c>
      <c r="E25" s="7">
        <f>ROUND(VALUE(SUBSTITUTE(F24,"~",""))*1.05, 1)</f>
        <v>-42</v>
      </c>
      <c r="F25" s="8">
        <v>-40</v>
      </c>
      <c r="G25" s="9"/>
      <c r="H25" s="10" t="s">
        <v>31</v>
      </c>
    </row>
    <row r="26" spans="1:8" x14ac:dyDescent="0.35">
      <c r="A26" s="11" t="s">
        <v>58</v>
      </c>
      <c r="B26" s="4" t="s">
        <v>59</v>
      </c>
      <c r="C26" s="5" t="s">
        <v>10</v>
      </c>
      <c r="D26" s="6">
        <f>ROUND(VALUE(LEFT(F26,FIND("-",F26)-1))*0.95, 1)</f>
        <v>9</v>
      </c>
      <c r="E26" s="7">
        <f>ROUND(VALUE(TRIM(MID(F26, FIND("-", F26) + 1, LEN(F26)))) * 1.05, 1)</f>
        <v>13.7</v>
      </c>
      <c r="F26" s="8" t="s">
        <v>60</v>
      </c>
      <c r="G26" s="9"/>
      <c r="H26" s="10" t="s">
        <v>61</v>
      </c>
    </row>
    <row r="27" spans="1:8" x14ac:dyDescent="0.35">
      <c r="A27" s="11" t="s">
        <v>62</v>
      </c>
      <c r="B27" s="4" t="s">
        <v>59</v>
      </c>
      <c r="C27" s="5" t="s">
        <v>15</v>
      </c>
      <c r="D27" s="6">
        <f>ROUND(VALUE(LEFT(F27,FIND("-",F27)-1))*0.95, 1)</f>
        <v>9</v>
      </c>
      <c r="E27" s="7">
        <f>ROUND(VALUE(TRIM(MID(F27, FIND("-", F27) + 1, LEN(F27)))) * 1.05, 1)</f>
        <v>13.7</v>
      </c>
      <c r="F27" s="8" t="s">
        <v>60</v>
      </c>
      <c r="G27" s="9"/>
      <c r="H27" s="10" t="s">
        <v>61</v>
      </c>
    </row>
    <row r="28" spans="1:8" x14ac:dyDescent="0.35">
      <c r="A28" s="11" t="s">
        <v>63</v>
      </c>
      <c r="B28" s="4" t="s">
        <v>64</v>
      </c>
      <c r="C28" s="5" t="s">
        <v>10</v>
      </c>
      <c r="D28" s="6">
        <f>ROUND(VALUE(LEFT(F28,FIND("-",F28)-1))*0.95, 1)</f>
        <v>2375</v>
      </c>
      <c r="E28" s="7">
        <f>ROUND(VALUE(TRIM(MID(F28, FIND("-", F28) + 1, LEN(F28)))) * 1.05, 1)</f>
        <v>3150</v>
      </c>
      <c r="F28" s="8" t="s">
        <v>65</v>
      </c>
      <c r="G28" s="9" t="s">
        <v>66</v>
      </c>
      <c r="H28" s="10" t="s">
        <v>67</v>
      </c>
    </row>
    <row r="29" spans="1:8" x14ac:dyDescent="0.35">
      <c r="A29" s="11" t="s">
        <v>68</v>
      </c>
      <c r="B29" s="4" t="s">
        <v>64</v>
      </c>
      <c r="C29" s="5" t="s">
        <v>15</v>
      </c>
      <c r="D29" s="6">
        <f>ROUND(VALUE(LEFT(F29,FIND("-",F29)-1))*0.95, 1)</f>
        <v>2375</v>
      </c>
      <c r="E29" s="7">
        <f>ROUND(VALUE(TRIM(MID(F29, FIND("-", F29) + 1, LEN(F29)))) * 1.05, 1)</f>
        <v>3045</v>
      </c>
      <c r="F29" s="8" t="s">
        <v>69</v>
      </c>
      <c r="G29" s="9" t="s">
        <v>66</v>
      </c>
      <c r="H29" s="10" t="s">
        <v>67</v>
      </c>
    </row>
    <row r="30" spans="1:8" x14ac:dyDescent="0.35">
      <c r="A30" s="11" t="s">
        <v>70</v>
      </c>
      <c r="B30" s="4" t="s">
        <v>71</v>
      </c>
      <c r="C30" s="5" t="s">
        <v>10</v>
      </c>
      <c r="D30" s="6">
        <f>ROUND(VALUE(SUBSTITUTE(F30,"~",""))*0.95, 1)</f>
        <v>25650</v>
      </c>
      <c r="E30" s="7">
        <f>ROUND(VALUE(SUBSTITUTE(F30,"~",""))*1.05, 1)</f>
        <v>28350</v>
      </c>
      <c r="F30" s="8">
        <v>27000</v>
      </c>
      <c r="G30" s="9"/>
      <c r="H30" s="10" t="s">
        <v>72</v>
      </c>
    </row>
    <row r="31" spans="1:8" x14ac:dyDescent="0.35">
      <c r="A31" s="11" t="s">
        <v>73</v>
      </c>
      <c r="B31" s="4" t="s">
        <v>71</v>
      </c>
      <c r="C31" s="5" t="s">
        <v>15</v>
      </c>
      <c r="D31" s="6">
        <f>ROUND(VALUE(LEFT(F31,FIND("-",F31)-1))*0.95, 1)</f>
        <v>28500</v>
      </c>
      <c r="E31" s="7">
        <f>ROUND(VALUE(TRIM(MID(F31, FIND("-", F31) + 1, LEN(F31)))) * 1.05, 1)</f>
        <v>34650</v>
      </c>
      <c r="F31" s="8" t="s">
        <v>74</v>
      </c>
      <c r="G31" s="9"/>
      <c r="H31" s="10" t="s">
        <v>72</v>
      </c>
    </row>
    <row r="32" spans="1:8" x14ac:dyDescent="0.35">
      <c r="A32" s="11" t="s">
        <v>75</v>
      </c>
      <c r="B32" s="4" t="s">
        <v>76</v>
      </c>
      <c r="C32" s="5" t="s">
        <v>10</v>
      </c>
      <c r="D32" s="6">
        <f>ROUND(VALUE(SUBSTITUTE(F32,"~",""))*0.95, 1)</f>
        <v>2.9</v>
      </c>
      <c r="E32" s="7">
        <f>ROUND(VALUE(SUBSTITUTE(F32,"~",""))*1.05, 1)</f>
        <v>3.2</v>
      </c>
      <c r="F32" s="8">
        <v>3</v>
      </c>
      <c r="G32" s="9" t="s">
        <v>77</v>
      </c>
      <c r="H32" s="10" t="s">
        <v>78</v>
      </c>
    </row>
    <row r="33" spans="1:8" x14ac:dyDescent="0.35">
      <c r="A33" s="3" t="s">
        <v>79</v>
      </c>
      <c r="B33" s="4" t="s">
        <v>76</v>
      </c>
      <c r="C33" s="5" t="s">
        <v>15</v>
      </c>
      <c r="D33" s="6">
        <f>ROUND(VALUE(SUBSTITUTE(F33,"~",""))*0.95, 1)</f>
        <v>2.9</v>
      </c>
      <c r="E33" s="7">
        <f>ROUND(VALUE(SUBSTITUTE(F33,"~",""))*1.05, 1)</f>
        <v>3.2</v>
      </c>
      <c r="F33" s="8">
        <v>3</v>
      </c>
      <c r="G33" s="9" t="s">
        <v>77</v>
      </c>
      <c r="H33" s="10" t="s">
        <v>78</v>
      </c>
    </row>
    <row r="34" spans="1:8" x14ac:dyDescent="0.35">
      <c r="A34" s="12"/>
      <c r="B34" s="12"/>
      <c r="C34" s="12"/>
      <c r="D34" s="12"/>
      <c r="E34" s="12"/>
      <c r="F34" s="12"/>
      <c r="G34" s="12"/>
      <c r="H34" s="12"/>
    </row>
    <row r="35" spans="1:8" x14ac:dyDescent="0.35">
      <c r="A35" s="12"/>
      <c r="B35" s="12"/>
      <c r="C35" s="12"/>
      <c r="D35" s="12"/>
      <c r="E35" s="12"/>
      <c r="F35" s="12"/>
      <c r="G35" s="12"/>
      <c r="H35" s="12"/>
    </row>
    <row r="36" spans="1:8" x14ac:dyDescent="0.35">
      <c r="A36" s="12"/>
      <c r="B36" s="12"/>
      <c r="C36" s="12"/>
      <c r="D36" s="12"/>
      <c r="E36" s="12"/>
      <c r="F36" s="12"/>
      <c r="G36" s="12"/>
      <c r="H36" s="12"/>
    </row>
    <row r="37" spans="1:8" x14ac:dyDescent="0.35">
      <c r="A37" s="12"/>
      <c r="B37" s="12"/>
      <c r="C37" s="12"/>
      <c r="D37" s="12"/>
      <c r="E37" s="12"/>
      <c r="F37" s="12"/>
      <c r="G37" s="12"/>
      <c r="H37" s="12"/>
    </row>
    <row r="38" spans="1:8" x14ac:dyDescent="0.35">
      <c r="A38" s="12"/>
      <c r="B38" s="12"/>
      <c r="C38" s="12"/>
      <c r="D38" s="12"/>
      <c r="E38" s="12"/>
      <c r="F38" s="12"/>
      <c r="G38" s="12"/>
      <c r="H38" s="12"/>
    </row>
    <row r="39" spans="1:8" x14ac:dyDescent="0.35">
      <c r="A39" s="12"/>
      <c r="B39" s="12"/>
      <c r="C39" s="12"/>
      <c r="D39" s="12"/>
      <c r="E39" s="12"/>
      <c r="F39" s="12"/>
      <c r="G39" s="12"/>
      <c r="H39" s="12"/>
    </row>
    <row r="40" spans="1:8" x14ac:dyDescent="0.35">
      <c r="A40" s="12"/>
      <c r="B40" s="12"/>
      <c r="C40" s="12"/>
      <c r="D40" s="12"/>
      <c r="E40" s="12"/>
      <c r="F40" s="12"/>
      <c r="G40" s="12"/>
      <c r="H40" s="12"/>
    </row>
    <row r="41" spans="1:8" x14ac:dyDescent="0.35">
      <c r="A41" s="12"/>
      <c r="B41" s="12"/>
      <c r="C41" s="12"/>
      <c r="D41" s="12"/>
      <c r="E41" s="12"/>
      <c r="F41" s="12"/>
      <c r="G41" s="12"/>
      <c r="H41" s="12"/>
    </row>
    <row r="42" spans="1:8" x14ac:dyDescent="0.35">
      <c r="A42" s="12"/>
      <c r="B42" s="12"/>
      <c r="C42" s="12"/>
      <c r="D42" s="12"/>
      <c r="E42" s="12"/>
      <c r="F42" s="12"/>
      <c r="G42" s="12"/>
      <c r="H42" s="12"/>
    </row>
    <row r="43" spans="1:8" x14ac:dyDescent="0.35">
      <c r="A43" s="12"/>
      <c r="B43" s="12"/>
      <c r="C43" s="12"/>
      <c r="D43" s="12"/>
      <c r="E43" s="12"/>
      <c r="F43" s="12"/>
      <c r="G43" s="12"/>
      <c r="H43" s="12"/>
    </row>
    <row r="44" spans="1:8" x14ac:dyDescent="0.35">
      <c r="A44" s="12"/>
      <c r="B44" s="12"/>
      <c r="C44" s="12"/>
      <c r="D44" s="12"/>
      <c r="E44" s="12"/>
      <c r="F44" s="12"/>
      <c r="G44" s="12"/>
      <c r="H44" s="12"/>
    </row>
    <row r="45" spans="1:8" x14ac:dyDescent="0.35">
      <c r="A45" s="12"/>
      <c r="B45" s="12"/>
      <c r="C45" s="12"/>
      <c r="D45" s="12"/>
      <c r="E45" s="12"/>
      <c r="F45" s="12"/>
      <c r="G45" s="12"/>
      <c r="H45" s="12"/>
    </row>
    <row r="46" spans="1:8" x14ac:dyDescent="0.35">
      <c r="A46" s="12"/>
      <c r="B46" s="12"/>
      <c r="C46" s="12"/>
      <c r="D46" s="12"/>
      <c r="E46" s="12"/>
      <c r="F46" s="12"/>
      <c r="G46" s="12"/>
      <c r="H46" s="12"/>
    </row>
    <row r="47" spans="1:8" x14ac:dyDescent="0.35">
      <c r="A47" s="12"/>
      <c r="B47" s="12"/>
      <c r="C47" s="12"/>
      <c r="D47" s="12"/>
      <c r="E47" s="12"/>
      <c r="F47" s="12"/>
      <c r="G47" s="12"/>
      <c r="H47" s="12"/>
    </row>
    <row r="48" spans="1:8" x14ac:dyDescent="0.35">
      <c r="A48" s="12"/>
      <c r="B48" s="12"/>
      <c r="C48" s="12"/>
      <c r="D48" s="12"/>
      <c r="E48" s="12"/>
      <c r="F48" s="12"/>
      <c r="G48" s="12"/>
      <c r="H48" s="12"/>
    </row>
    <row r="49" spans="1:8" x14ac:dyDescent="0.35">
      <c r="A49" s="12"/>
      <c r="B49" s="12"/>
      <c r="C49" s="12"/>
      <c r="D49" s="12"/>
      <c r="E49" s="12"/>
      <c r="F49" s="12"/>
      <c r="G49" s="12"/>
      <c r="H49" s="12"/>
    </row>
    <row r="50" spans="1:8" x14ac:dyDescent="0.35">
      <c r="A50" s="12"/>
      <c r="B50" s="12"/>
      <c r="C50" s="12"/>
      <c r="D50" s="12"/>
      <c r="E50" s="12"/>
      <c r="F50" s="12"/>
      <c r="G50" s="12"/>
      <c r="H50" s="12"/>
    </row>
    <row r="51" spans="1:8" x14ac:dyDescent="0.35">
      <c r="A51" s="12"/>
      <c r="B51" s="12"/>
      <c r="C51" s="12"/>
      <c r="D51" s="12"/>
      <c r="E51" s="12"/>
      <c r="F51" s="12"/>
      <c r="G51" s="12"/>
      <c r="H51" s="12"/>
    </row>
    <row r="52" spans="1:8" x14ac:dyDescent="0.35">
      <c r="A52" s="12"/>
      <c r="B52" s="12"/>
      <c r="C52" s="12"/>
      <c r="D52" s="12"/>
      <c r="E52" s="12"/>
      <c r="F52" s="12"/>
      <c r="G52" s="12"/>
      <c r="H52" s="12"/>
    </row>
    <row r="53" spans="1:8" x14ac:dyDescent="0.35">
      <c r="A53" s="12"/>
      <c r="B53" s="12"/>
      <c r="C53" s="12"/>
      <c r="D53" s="12"/>
      <c r="E53" s="12"/>
      <c r="F53" s="12"/>
      <c r="G53" s="12"/>
      <c r="H53" s="12"/>
    </row>
    <row r="54" spans="1:8" x14ac:dyDescent="0.35">
      <c r="A54" s="12"/>
      <c r="B54" s="12"/>
      <c r="C54" s="12"/>
      <c r="D54" s="12"/>
      <c r="E54" s="12"/>
      <c r="F54" s="12"/>
      <c r="G54" s="12"/>
      <c r="H54" s="12"/>
    </row>
    <row r="55" spans="1:8" x14ac:dyDescent="0.35">
      <c r="A55" s="12"/>
      <c r="B55" s="12"/>
      <c r="C55" s="12"/>
      <c r="D55" s="12"/>
      <c r="E55" s="12"/>
      <c r="F55" s="12"/>
      <c r="G55" s="12"/>
      <c r="H55" s="12"/>
    </row>
    <row r="56" spans="1:8" x14ac:dyDescent="0.35">
      <c r="A56" s="12"/>
      <c r="B56" s="12"/>
      <c r="C56" s="12"/>
      <c r="D56" s="12"/>
      <c r="E56" s="12"/>
      <c r="F56" s="12"/>
      <c r="G56" s="12"/>
      <c r="H56" s="12"/>
    </row>
    <row r="57" spans="1:8" x14ac:dyDescent="0.35">
      <c r="A57" s="12"/>
      <c r="B57" s="12"/>
      <c r="C57" s="12"/>
      <c r="D57" s="12"/>
      <c r="E57" s="12"/>
      <c r="F57" s="12"/>
      <c r="G57" s="12"/>
      <c r="H57" s="12"/>
    </row>
    <row r="58" spans="1:8" x14ac:dyDescent="0.35">
      <c r="A58" s="12"/>
      <c r="B58" s="12"/>
      <c r="C58" s="12"/>
      <c r="D58" s="12"/>
      <c r="E58" s="12"/>
      <c r="F58" s="12"/>
      <c r="G58" s="12"/>
      <c r="H58" s="12"/>
    </row>
  </sheetData>
  <protectedRanges>
    <protectedRange algorithmName="SHA-512" hashValue="BhuZ1TbyvoUMxTZ8WojXUz5nZBbNAMdIAUySTBCvkr10gVh6OBTuExQ65+SyWP6OUpc8lsaqfoOg/CnHQQ2XoQ==" saltValue="1k3QhRn6aipfkkLWhHnqYA==" spinCount="100000" sqref="A1:H33" name="Reference Data_1"/>
  </protectedRanges>
  <dataValidations count="3">
    <dataValidation type="list" allowBlank="1" showInputMessage="1" showErrorMessage="1" sqref="H2:H33" xr:uid="{87BB96BA-42E3-4D9C-A6DE-E29055FEF145}">
      <formula1>"%, °C, psi, qt, kg/hr, lbf, kN, cycles"</formula1>
    </dataValidation>
    <dataValidation type="list" allowBlank="1" showInputMessage="1" showErrorMessage="1" sqref="C2:C33" xr:uid="{0037C0CD-BA7F-4B50-B948-FE7F8B7E898D}">
      <formula1>"CFM56-5B , IAE V2500-A5"</formula1>
    </dataValidation>
    <dataValidation type="list" allowBlank="1" showInputMessage="1" showErrorMessage="1" sqref="B2:B33" xr:uid="{1188303A-2FC6-448E-A95E-B4F02EA60C96}">
      <formula1>"N1 Idle, N1 Max, N2 Idle, N2 Max, EGT Idle, EGT Max (TO/GA), EGT Max Continuous, Oil Pressure Min, Oil Pressure Max, Oil Temp Max Continuous, Oil Temp Max Transient, Oil Temp Start Min, Oil Quantity Min, Fuel Flow Cruise, Max Thrust, Starter Limit"</formula1>
    </dataValidation>
  </dataValidations>
  <pageMargins left="0.7" right="0.7" top="0.75" bottom="0.75" header="0.3" footer="0.3"/>
  <ignoredErrors>
    <ignoredError sqref="D6"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Modukuru_Nikhilesh</dc:creator>
  <cp:lastModifiedBy>Neelima Modukuru</cp:lastModifiedBy>
  <dcterms:created xsi:type="dcterms:W3CDTF">2015-06-05T18:17:20Z</dcterms:created>
  <dcterms:modified xsi:type="dcterms:W3CDTF">2026-03-27T14:27:58Z</dcterms:modified>
</cp:coreProperties>
</file>